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lin/Desktop/Personal admin/Professional Development Planning/Finance portfolio/"/>
    </mc:Choice>
  </mc:AlternateContent>
  <xr:revisionPtr revIDLastSave="0" documentId="13_ncr:1_{8B8348B2-FB8C-2D43-BABA-19F7F6AEBCDA}" xr6:coauthVersionLast="47" xr6:coauthVersionMax="47" xr10:uidLastSave="{00000000-0000-0000-0000-000000000000}"/>
  <bookViews>
    <workbookView xWindow="4020" yWindow="660" windowWidth="24780" windowHeight="13460" xr2:uid="{66F56F59-74E9-450F-B3B3-1607994994E2}"/>
  </bookViews>
  <sheets>
    <sheet name="Buyback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" hidden="1">[1]IncStmt!#REF!</definedName>
    <definedName name="__123Graph_AClsCarr" hidden="1">[2]CLOSED!$B$38:$G$38</definedName>
    <definedName name="__123Graph_AClsCorr" hidden="1">[2]CLOSED!$C$22:$L$22</definedName>
    <definedName name="__123Graph_AClsCum" hidden="1">[2]CLOSED!$C$45:$G$45</definedName>
    <definedName name="__123Graph_AClsCust" hidden="1">[2]CLOSED!$C$10:$L$10</definedName>
    <definedName name="__123Graph_AClsLoft" hidden="1">[2]CLOSED!$C$28:$L$28</definedName>
    <definedName name="__123Graph_AClsMar" hidden="1">[2]CLOSED!$C$16:$M$16</definedName>
    <definedName name="__123Graph_AGraph1" hidden="1">[2]CLOSED!$C$19:$M$19</definedName>
    <definedName name="__123Graph_AGraph2" hidden="1">[2]CLOSED!$C$13:$M$13</definedName>
    <definedName name="__123Graph_AGraph3" hidden="1">[2]CLOSED!$C$41:$M$41</definedName>
    <definedName name="__123Graph_AGraph4" hidden="1">[2]CLOSED!$C$31:$M$31</definedName>
    <definedName name="__123Graph_AYTDVar" hidden="1">[2]CLOSED!$G$59:$G$65</definedName>
    <definedName name="__123Graph_B" hidden="1">[1]IncStmt!#REF!</definedName>
    <definedName name="__123Graph_BClsCarr" hidden="1">[2]CLOSED!$B$39:$G$39</definedName>
    <definedName name="__123Graph_BClsCorr" hidden="1">[2]CLOSED!$C$23:$L$23</definedName>
    <definedName name="__123Graph_BClsCum" hidden="1">[2]CLOSED!$C$46:$G$46</definedName>
    <definedName name="__123Graph_BClsCust" hidden="1">[2]CLOSED!$C$11:$L$11</definedName>
    <definedName name="__123Graph_BClsLoft" hidden="1">[2]CLOSED!$C$29:$L$29</definedName>
    <definedName name="__123Graph_BClsMar" hidden="1">[2]CLOSED!$C$17:$M$17</definedName>
    <definedName name="__123Graph_BYTDVar" hidden="1">[2]CLOSED!$H$59:$H$65</definedName>
    <definedName name="__123Graph_C" hidden="1">[1]IncStmt!#REF!</definedName>
    <definedName name="__123Graph_CClsCarr" hidden="1">[2]CLOSED!$B$40:$G$40</definedName>
    <definedName name="__123Graph_CClsCorr" hidden="1">[2]CLOSED!$C$24:$L$24</definedName>
    <definedName name="__123Graph_CClsCum" hidden="1">[2]CLOSED!$C$47:$G$47</definedName>
    <definedName name="__123Graph_CClsCust" hidden="1">[2]CLOSED!$C$12:$L$12</definedName>
    <definedName name="__123Graph_CClsLoft" hidden="1">[2]CLOSED!$C$30:$L$30</definedName>
    <definedName name="__123Graph_CClsMar" hidden="1">[2]CLOSED!$C$18:$M$18</definedName>
    <definedName name="__123Graph_CYTDVar" hidden="1">[2]CLOSED!$I$59:$I$65</definedName>
    <definedName name="__123Graph_D" hidden="1">[1]IncStmt!#REF!</definedName>
    <definedName name="__123Graph_DYTDVar" hidden="1">[2]CLOSED!$J$59:$J$65</definedName>
    <definedName name="__123Graph_E" hidden="1">[1]IncStmt!#REF!</definedName>
    <definedName name="__123Graph_EYTDVar" hidden="1">[2]CLOSED!$K$59:$K$65</definedName>
    <definedName name="__123Graph_F" hidden="1">[1]IncStmt!#REF!</definedName>
    <definedName name="__123Graph_XClsCarr" hidden="1">[2]CLOSED!$B$37:$G$37</definedName>
    <definedName name="__123Graph_XClsCorr" hidden="1">[2]CLOSED!$C$7:$L$7</definedName>
    <definedName name="__123Graph_XClsCum" hidden="1">[2]CLOSED!$C$37:$G$37</definedName>
    <definedName name="__123Graph_XClsCust" hidden="1">[2]CLOSED!$C$7:$N$7</definedName>
    <definedName name="__123Graph_XClsLoft" hidden="1">[2]CLOSED!$C$7:$N$7</definedName>
    <definedName name="__123Graph_XClsMar" hidden="1">[2]CLOSED!$C$7:$N$7</definedName>
    <definedName name="__123Graph_XGraph1" hidden="1">[2]CLOSED!$C$7:$M$7</definedName>
    <definedName name="__123Graph_XGraph2" hidden="1">[2]CLOSED!$C$7:$M$7</definedName>
    <definedName name="__123Graph_XGraph3" hidden="1">[2]CLOSED!$C$7:$M$7</definedName>
    <definedName name="__123Graph_XGraph4" hidden="1">[2]CLOSED!$C$7:$M$7</definedName>
    <definedName name="__123Graph_XYTDVar" hidden="1">[2]CLOSED!$A$59:$A$70</definedName>
    <definedName name="__APW_RESTORE_DATA1__" hidden="1">#REF!</definedName>
    <definedName name="__APW_RESTORE_DATA2__" hidden="1">#REF!,#REF!,#REF!,#REF!,#REF!,#REF!,#REF!,#REF!,#REF!,#REF!</definedName>
    <definedName name="__APW_RESTORE_DATA3__" hidden="1">#REF!,#REF!,#REF!,#REF!,#REF!,#REF!,#REF!,#REF!,#REF!,#REF!</definedName>
    <definedName name="__APW_RESTORE_DATA4__" hidden="1">#REF!,#REF!,#REF!,#REF!,#REF!,#REF!,#REF!,#REF!,#REF!,#REF!</definedName>
    <definedName name="__APW_RESTORE_DATA5__" hidden="1">#REF!,#REF!,#REF!,#REF!,#REF!,#REF!,#REF!,#REF!,#REF!,#REF!,#REF!</definedName>
    <definedName name="__APW_RESTORE_DATA6__" hidden="1">#REF!,#REF!,#REF!,#REF!,#REF!,#REF!,#REF!,#REF!,#REF!,#REF!</definedName>
    <definedName name="__APW_RESTORE_DATA7__" hidden="1">#REF!,#REF!,#REF!,#REF!,#REF!,#REF!,#REF!,#REF!,#REF!,#REF!</definedName>
    <definedName name="__APW_RESTORE_DATA8__" hidden="1">#REF!,#REF!,#REF!,#REF!,#REF!,#REF!,#REF!,#REF!,#REF!,#REF!</definedName>
    <definedName name="__APW_RESTORE_DATA9__" hidden="1">#REF!,#REF!,#REF!,#REF!,#REF!,#REF!,#REF!,#REF!,#REF!,#REF!</definedName>
    <definedName name="__APW_RESTORE_HYPERLINK0__" hidden="1">#REF!</definedName>
    <definedName name="__FDS_HYPERLINK_TOGGLE_STATE__" hidden="1">"ON"</definedName>
    <definedName name="__IntlFixup" hidden="1">TRUE</definedName>
    <definedName name="_1__123Graph_AClsCum" hidden="1">[2]CLOSED!$C$52:$G$52</definedName>
    <definedName name="_2__123Graph_BClsCum" hidden="1">[2]CLOSED!$C$53:$G$53</definedName>
    <definedName name="_3__123Graph_CClsCum" hidden="1">[2]CLOSED!$C$54:$G$54</definedName>
    <definedName name="_4__123Graph_XClsCum" hidden="1">[2]CLOSED!$C$37:$G$37</definedName>
    <definedName name="_bdm.3bc3868ed0944caca34a4bf55da1d872.edm" hidden="1">Buyback!$1:$1048576</definedName>
    <definedName name="_bdm.43f49c2492814add8d178df31b692759.edm" hidden="1">#REF!</definedName>
    <definedName name="_bdm.7a568e307b8a4b6283af6c2bde263652.edm" localSheetId="0" hidden="1">Buyback!$F$7:$K$13</definedName>
    <definedName name="_bdm.889872345e6a497faa6add3830fe8a9f.edm" localSheetId="0" hidden="1">Buyback!$B$4:$C$16</definedName>
    <definedName name="_bdm.f61802e9ec6841f2a9e5990691dc2807.edm" localSheetId="0" hidden="1">Buyback!$B$20:$F$31</definedName>
    <definedName name="_Key1" hidden="1">'[3]TOP 10 CUST (L)'!#REF!</definedName>
    <definedName name="_Key2" hidden="1">'[4]TOP 10 CUST (L)'!#REF!</definedName>
    <definedName name="_Order1" hidden="1">255</definedName>
    <definedName name="_Order2" hidden="1">255</definedName>
    <definedName name="_Sort" hidden="1">'[3]TOP 10 CUST (L)'!#REF!</definedName>
    <definedName name="a" hidden="1">{#N/A,#N/A,FALSE,"Projections";#N/A,#N/A,FALSE,"Multiples Valuation";#N/A,#N/A,FALSE,"LBO";#N/A,#N/A,FALSE,"Multiples_Sensitivity";#N/A,#N/A,FALSE,"Summary"}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Database" hidden="1">"C:\DATA\Kevin\Kevin's Model.mdb"</definedName>
    <definedName name="AS2DocOpenMode" hidden="1">"AS2DocumentEdit"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" hidden="1">{#N/A,#N/A,FALSE,"Assessment";#N/A,#N/A,FALSE,"Staffing";#N/A,#N/A,FALSE,"Hires";#N/A,#N/A,FALSE,"Assumptions"}</definedName>
    <definedName name="bbb" hidden="1">{#N/A,#N/A,FALSE,"Assessment";#N/A,#N/A,FALSE,"Staffing";#N/A,#N/A,FALSE,"Hires";#N/A,#N/A,FALSE,"Assumptions"}</definedName>
    <definedName name="bbbbb" hidden="1">{#N/A,#N/A,FALSE,"Assessment";#N/A,#N/A,FALSE,"Staffing";#N/A,#N/A,FALSE,"Hires";#N/A,#N/A,FALSE,"Assumptions"}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cc" hidden="1">{#N/A,#N/A,FALSE,"Assessment";#N/A,#N/A,FALSE,"Staffing";#N/A,#N/A,FALSE,"Hires";#N/A,#N/A,FALSE,"Assumptions"}</definedName>
    <definedName name="cccc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d" hidden="1">{#N/A,#N/A,FALSE,"Assessment";#N/A,#N/A,FALSE,"Staffing";#N/A,#N/A,FALSE,"Hires";#N/A,#N/A,FALSE,"Assumptions"}</definedName>
    <definedName name="de" hidden="1">{#N/A,#N/A,FALSE,"Assessment";#N/A,#N/A,FALSE,"Staffing";#N/A,#N/A,FALSE,"Hires";#N/A,#N/A,FALSE,"Assumptions"}</definedName>
    <definedName name="ev.Calculation" hidden="1">-4105</definedName>
    <definedName name="ev.Initialized" hidden="1">FALSE</definedName>
    <definedName name="f" hidden="1">{#N/A,#N/A,FALSE,"Assessment";#N/A,#N/A,FALSE,"Staffing";#N/A,#N/A,FALSE,"Hires";#N/A,#N/A,FALSE,"Assumptions"}</definedName>
    <definedName name="g" hidden="1">{#N/A,#N/A,FALSE,"Assessment";#N/A,#N/A,FALSE,"Staffing";#N/A,#N/A,FALSE,"Hires";#N/A,#N/A,FALSE,"Assumptions"}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NNUAL_DIVIDEND" hidden="1">"c229"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EPS_SURPRISE" hidden="1">"c1635"</definedName>
    <definedName name="IQ_ESTIMATED_ASSESSABLE_DEPOSITS_FDIC" hidden="1">"c6490"</definedName>
    <definedName name="IQ_ESTIMATED_INSURED_DEPOSITS_FDIC" hidden="1">"c6491"</definedName>
    <definedName name="IQ_EV_OVER_REVENUE_EST" hidden="1">"c165"</definedName>
    <definedName name="IQ_EV_OVER_REVENUE_EST_1" hidden="1">"c166"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IDER_LOANS_FDIC" hidden="1">"c6365"</definedName>
    <definedName name="IQ_INSTITUTIONAL_AMOUNT" hidden="1">"c236"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_DATE" hidden="1">"IQ_LTM_DATE"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40211.4080902778</definedName>
    <definedName name="IQ_NET_CHARGE_OFFS_FDIC" hidden="1">"c6641"</definedName>
    <definedName name="IQ_NET_CHARGE_OFFS_LOANS_FDIC" hidden="1">"c6751"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FLOAT" hidden="1">"c227"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_DATE" hidden="1">39777.4005324074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HORT_INTEREST_VOLUME" hidden="1">"c228"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QSVitesseBX14" hidden="1">"$BX$15:$BX$17"</definedName>
    <definedName name="IQSVitesseBX17" hidden="1">"$BX$18"</definedName>
    <definedName name="IQSVitesseBX19" hidden="1">"$BX$20:$BX$22"</definedName>
    <definedName name="IQSVitesseBX23" hidden="1">"$BX$24:$BX$27"</definedName>
    <definedName name="IQSVitesseBX5" hidden="1">"$BX$6:$BX$16"</definedName>
    <definedName name="IsColHidden" hidden="1">FALSE</definedName>
    <definedName name="IsLTMColHidden" hidden="1">FALSE</definedName>
    <definedName name="KKK" hidden="1">{#N/A,#N/A,FALSE,"Assessment";#N/A,#N/A,FALSE,"Staffing";#N/A,#N/A,FALSE,"Hires";#N/A,#N/A,FALSE,"Assumptions"}</definedName>
    <definedName name="ne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nn" hidden="1">{#N/A,#N/A,FALSE,"Assessment";#N/A,#N/A,FALSE,"Staffing";#N/A,#N/A,FALSE,"Hires";#N/A,#N/A,FALSE,"Assumptions"}</definedName>
    <definedName name="ORCC" hidden="1">{#N/A,#N/A,FALSE,"Projections";#N/A,#N/A,FALSE,"Multiples Valuation";#N/A,#N/A,FALSE,"LBO";#N/A,#N/A,FALSE,"Multiples_Sensitivity";#N/A,#N/A,FALSE,"Summary"}</definedName>
    <definedName name="_xlnm.Print_Area" localSheetId="0">Buyback!$B$2:$K$31</definedName>
    <definedName name="resources" hidden="1">{#N/A,#N/A,FALSE,"Assessment";#N/A,#N/A,FALSE,"Staffing";#N/A,#N/A,FALSE,"Hires";#N/A,#N/A,FALSE,"Assumptions"}</definedName>
    <definedName name="Sept" hidden="1">{"assets",#N/A,FALSE,"BSCON894"}</definedName>
    <definedName name="short" hidden="1">'[5]TOP 10 CUST (L)'!#REF!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MMARY_BOOK" hidden="1">{"page1",#N/A,FALSE,"GIRLBO";"page2",#N/A,FALSE,"GIRLBO";"page3",#N/A,FALSE,"GIRLBO";"page4",#N/A,FALSE,"GIRLBO";"page5",#N/A,FALSE,"GIRLBO"}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xtRefCopyRangeCount" hidden="1">1</definedName>
    <definedName name="two.print" hidden="1">{"month",#N/A,FALSE,"LOPL594";"ytd",#N/A,FALSE,"LOPL594"}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dj95." hidden="1">{"adj95mult",#N/A,FALSE,"COMPCO";"adj95est",#N/A,FALSE,"COMPCO"}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{"Matrix",#N/A,FALSE,"ACQMTRX";"Fees",#N/A,FALSE,"ACQMTRX"}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ssets." hidden="1">{"assets",#N/A,FALSE,"BSCON894"}</definedName>
    <definedName name="wrn.basics." hidden="1">{#N/A,#N/A,FALSE,"TSUM";#N/A,#N/A,FALSE,"shares";#N/A,#N/A,FALSE,"earnout";#N/A,#N/A,FALSE,"Heaty";#N/A,#N/A,FALSE,"self-tend";#N/A,#N/A,FALSE,"self-sum"}</definedName>
    <definedName name="wrn.bod." hidden="1">{#N/A,#N/A,FALSE,"Financial Highlights Annual";#N/A,#N/A,FALSE,"Income Statement Annual";#N/A,#N/A,FALSE,"Income Statement Qtrly";#N/A,#N/A,FALSE,"Balance Sheet Annual";#N/A,#N/A,FALSE,"Cash Flow Annual"}</definedName>
    <definedName name="wrn.bullshit1." hidden="1">{#N/A,#N/A,FALSE,"Sheet1";#N/A,#N/A,FALSE,"Summary";#N/A,#N/A,FALSE,"proj1";#N/A,#N/A,FALSE,"proj2"}</definedName>
    <definedName name="wrn.compco." hidden="1">{"page1",#N/A,FALSE,"BHCOMPC5";"page2",#N/A,FALSE,"BHCOMPC5";"page3",#N/A,FALSE,"BHCOMPC5";"page4",#N/A,FALSE,"BHCOMPC5"}</definedName>
    <definedName name="wrn.DCF." hidden="1">{"DCF1",#N/A,FALSE,"SIERRA DCF";"MATRIX1",#N/A,FALSE,"SIERRA DCF"}</definedName>
    <definedName name="wrn.Economic._.Value._.Added._.Analysis." hidden="1">{"EVA",#N/A,FALSE,"EVA";"WACC",#N/A,FALSE,"WACC"}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iab." hidden="1">{#N/A,#N/A,FALSE,"BSCON894"}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odel." hidden="1">{"page1",#N/A,FALSE,"GIRLBO";"page2",#N/A,FALSE,"GIRLBO";"page3",#N/A,FALSE,"GIRLBO";"page4",#N/A,FALSE,"GIRLBO";"page5",#N/A,FALSE,"GIRLBO"}</definedName>
    <definedName name="wrn.newest." hidden="1">{#N/A,#N/A,TRUE,"TS";#N/A,#N/A,TRUE,"Combo";#N/A,#N/A,TRUE,"FAIR";#N/A,#N/A,TRUE,"RBC";#N/A,#N/A,TRUE,"xxxx"}</definedName>
    <definedName name="wrn.OUTPUT." hidden="1">{"DCF","UPSIDE CASE",FALSE,"Sheet1";"DCF","BASE CASE",FALSE,"Sheet1";"DCF","DOWNSIDE CASE",FALSE,"Sheet1"}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" hidden="1">{"month",#N/A,FALSE,"LOPL594";"ytd",#N/A,FALSE,"LOPL594"}</definedName>
    <definedName name="wrn.Print._.All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Ratios";#N/A,#N/A,FALSE,"Cap_Exp";#N/A,#N/A,FALSE,"Manpwr"}</definedName>
    <definedName name="wrn.Print._.Monthly._.Book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Out._.1." hidden="1">{"Five Year",#N/A,FALSE,"Summary (2)";"Month 1 and Years",#N/A,FALSE,"Cash Budget"}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wicor." hidden="1">{#N/A,#N/A,FALSE,"FACTSHEETS";#N/A,#N/A,FALSE,"pump";#N/A,#N/A,FALSE,"filter"}</definedName>
  </definedName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27" i="1"/>
  <c r="D27" i="1"/>
  <c r="E26" i="1"/>
  <c r="C8" i="1"/>
  <c r="D26" i="1"/>
  <c r="C26" i="1"/>
  <c r="F24" i="1"/>
  <c r="E24" i="1"/>
  <c r="C24" i="1"/>
  <c r="D23" i="1"/>
  <c r="D22" i="1"/>
  <c r="C14" i="1"/>
  <c r="C11" i="1"/>
  <c r="C10" i="1"/>
  <c r="G8" i="1"/>
  <c r="H8" i="1"/>
  <c r="C30" i="1"/>
  <c r="C31" i="1"/>
  <c r="C27" i="1"/>
  <c r="C28" i="1" s="1"/>
  <c r="C23" i="1"/>
  <c r="C22" i="1"/>
  <c r="C16" i="1"/>
  <c r="F9" i="1"/>
  <c r="F12" i="1"/>
  <c r="F13" i="1" s="1"/>
  <c r="F10" i="1"/>
  <c r="J8" i="1"/>
  <c r="K8" i="1" s="1"/>
  <c r="I31" i="1"/>
  <c r="H31" i="1"/>
  <c r="K30" i="1"/>
  <c r="I30" i="1"/>
  <c r="H30" i="1"/>
  <c r="J30" i="1"/>
  <c r="K31" i="1"/>
  <c r="J31" i="1"/>
  <c r="E22" i="1" l="1"/>
  <c r="F22" i="1" s="1"/>
  <c r="E23" i="1"/>
  <c r="D30" i="1"/>
  <c r="D31" i="1" l="1"/>
  <c r="E30" i="1"/>
  <c r="F23" i="1"/>
  <c r="D24" i="1" l="1"/>
  <c r="F26" i="1"/>
  <c r="E31" i="1"/>
  <c r="F31" i="1" s="1"/>
  <c r="F30" i="1"/>
  <c r="E28" i="1" l="1"/>
  <c r="F28" i="1" s="1"/>
  <c r="F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tc={0BCC3EC8-4157-0642-AB5C-1E5149EF086D}</author>
    <author>tc={EBBEC3AA-10A8-D644-BF11-FB2E94045A15}</author>
    <author>tc={8496DA4C-1DDE-B241-ADF2-A1B4FB7B9AC6}</author>
    <author>tc={BDB63963-9BA2-634C-A67F-F52A4F25563A}</author>
  </authors>
  <commentList>
    <comment ref="C7" authorId="0" shapeId="0" xr:uid="{0BCC3EC8-4157-0642-AB5C-1E5149EF086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3/3/26</t>
      </text>
    </comment>
    <comment ref="C14" authorId="1" shapeId="0" xr:uid="{EBBEC3AA-10A8-D644-BF11-FB2E94045A15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Utilized 10% of the market cap</t>
      </text>
    </comment>
    <comment ref="C16" authorId="2" shapeId="0" xr:uid="{8496DA4C-1DDE-B241-ADF2-A1B4FB7B9AC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as income tax expense / Pre-tax income (EBT)</t>
      </text>
    </comment>
    <comment ref="E31" authorId="3" shapeId="0" xr:uid="{BDB63963-9BA2-634C-A67F-F52A4F25563A}">
      <text>
        <t>[Threaded comment]
Your version of Excel allows you to read this threaded comment; however, any edits to it will get removed if the file is opened in a newer version of Excel. Learn more: https://go.microsoft.com/fwlink/?linkid=870924
Comment:
    Debt/EBITDA ratio makes this amount of buyback extremely risky. However, Debt/EBITDA ratio already starts at a high level of 4.2x before any buybacks, and any buyback will worsen the ratio.</t>
      </text>
    </comment>
  </commentList>
</comments>
</file>

<file path=xl/sharedStrings.xml><?xml version="1.0" encoding="utf-8"?>
<sst xmlns="http://schemas.openxmlformats.org/spreadsheetml/2006/main" count="32" uniqueCount="28">
  <si>
    <t>Assumptions, $ millions except shares</t>
  </si>
  <si>
    <t>Sensitivity Analysis of Change to EPS</t>
  </si>
  <si>
    <t>Net Income</t>
  </si>
  <si>
    <t>Shares Outstanding (millions)</t>
  </si>
  <si>
    <t>Share Price ($ / share)</t>
  </si>
  <si>
    <t>Interest</t>
  </si>
  <si>
    <t>Share Price</t>
  </si>
  <si>
    <t>P / E Ratio</t>
  </si>
  <si>
    <t>Cash Balance</t>
  </si>
  <si>
    <t>Total Debt</t>
  </si>
  <si>
    <t>Net Debt</t>
  </si>
  <si>
    <t>EBITDA ($ millions)</t>
  </si>
  <si>
    <t>Buyback Amount</t>
  </si>
  <si>
    <t>Interest Rate on Debt</t>
  </si>
  <si>
    <t>Tax Rate</t>
  </si>
  <si>
    <t>Buyback Analysis</t>
  </si>
  <si>
    <t>Change</t>
  </si>
  <si>
    <t>After</t>
  </si>
  <si>
    <t>Change, %</t>
  </si>
  <si>
    <t>EPS Impact</t>
  </si>
  <si>
    <t>EPS ($ / share)</t>
  </si>
  <si>
    <t>Share Price Impact</t>
  </si>
  <si>
    <t>Equity Value / Market Cap</t>
  </si>
  <si>
    <t>P/E</t>
  </si>
  <si>
    <t>Leverage Impact</t>
  </si>
  <si>
    <t>Total Debt / EBITDA</t>
  </si>
  <si>
    <t>Before</t>
  </si>
  <si>
    <t>Share Buyback Impact Model: Dropbox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</si>
</sst>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"/>
    <numFmt numFmtId="165" formatCode="0.0\x"/>
    <numFmt numFmtId="166" formatCode="0.0%_);\(0.0%\);0.0%_);@_)"/>
    <numFmt numFmtId="167" formatCode="0.0"/>
    <numFmt numFmtId="168" formatCode="&quot;$&quot;#,##0.0"/>
    <numFmt numFmtId="169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2" fillId="2" borderId="0" xfId="0" applyFont="1" applyFill="1"/>
    <xf numFmtId="0" fontId="6" fillId="0" borderId="0" xfId="0" applyFo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6" fillId="0" borderId="0" xfId="0" applyNumberFormat="1" applyFont="1"/>
    <xf numFmtId="165" fontId="0" fillId="0" borderId="0" xfId="0" applyNumberFormat="1"/>
    <xf numFmtId="166" fontId="11" fillId="0" borderId="0" xfId="2" applyNumberFormat="1" applyFont="1"/>
    <xf numFmtId="0" fontId="12" fillId="0" borderId="0" xfId="0" applyFont="1"/>
    <xf numFmtId="0" fontId="6" fillId="0" borderId="0" xfId="0" applyFont="1" applyAlignment="1">
      <alignment horizontal="left" indent="1"/>
    </xf>
    <xf numFmtId="9" fontId="9" fillId="0" borderId="0" xfId="1" applyFont="1"/>
    <xf numFmtId="169" fontId="9" fillId="0" borderId="0" xfId="0" applyNumberFormat="1" applyFont="1"/>
    <xf numFmtId="169" fontId="6" fillId="0" borderId="0" xfId="0" applyNumberFormat="1" applyFont="1"/>
    <xf numFmtId="0" fontId="13" fillId="0" borderId="0" xfId="0" applyFont="1"/>
    <xf numFmtId="164" fontId="14" fillId="0" borderId="0" xfId="0" applyNumberFormat="1" applyFont="1"/>
    <xf numFmtId="1" fontId="14" fillId="0" borderId="0" xfId="0" applyNumberFormat="1" applyFont="1"/>
    <xf numFmtId="9" fontId="15" fillId="0" borderId="0" xfId="0" applyNumberFormat="1" applyFont="1"/>
    <xf numFmtId="9" fontId="16" fillId="0" borderId="0" xfId="0" applyNumberFormat="1" applyFont="1"/>
    <xf numFmtId="164" fontId="16" fillId="0" borderId="0" xfId="0" applyNumberFormat="1" applyFont="1"/>
    <xf numFmtId="1" fontId="9" fillId="3" borderId="0" xfId="0" applyNumberFormat="1" applyFont="1" applyFill="1"/>
    <xf numFmtId="167" fontId="9" fillId="3" borderId="0" xfId="0" applyNumberFormat="1" applyFont="1" applyFill="1"/>
    <xf numFmtId="9" fontId="9" fillId="3" borderId="0" xfId="1" applyFont="1" applyFill="1"/>
    <xf numFmtId="164" fontId="6" fillId="3" borderId="0" xfId="0" applyNumberFormat="1" applyFont="1" applyFill="1" applyAlignment="1">
      <alignment vertical="top"/>
    </xf>
    <xf numFmtId="168" fontId="9" fillId="3" borderId="0" xfId="0" applyNumberFormat="1" applyFont="1" applyFill="1"/>
    <xf numFmtId="169" fontId="9" fillId="3" borderId="0" xfId="0" applyNumberFormat="1" applyFont="1" applyFill="1"/>
    <xf numFmtId="169" fontId="6" fillId="3" borderId="0" xfId="0" applyNumberFormat="1" applyFont="1" applyFill="1"/>
    <xf numFmtId="9" fontId="9" fillId="3" borderId="9" xfId="1" applyFont="1" applyFill="1" applyBorder="1"/>
    <xf numFmtId="9" fontId="6" fillId="3" borderId="1" xfId="1" applyFont="1" applyFill="1" applyBorder="1"/>
    <xf numFmtId="9" fontId="6" fillId="3" borderId="2" xfId="1" applyFont="1" applyFill="1" applyBorder="1"/>
    <xf numFmtId="9" fontId="6" fillId="3" borderId="3" xfId="1" applyFont="1" applyFill="1" applyBorder="1"/>
    <xf numFmtId="9" fontId="6" fillId="3" borderId="4" xfId="1" applyFont="1" applyFill="1" applyBorder="1"/>
    <xf numFmtId="9" fontId="6" fillId="3" borderId="0" xfId="1" applyFont="1" applyFill="1" applyBorder="1"/>
    <xf numFmtId="9" fontId="6" fillId="3" borderId="5" xfId="1" applyFont="1" applyFill="1" applyBorder="1"/>
    <xf numFmtId="9" fontId="6" fillId="3" borderId="6" xfId="1" applyFont="1" applyFill="1" applyBorder="1"/>
    <xf numFmtId="9" fontId="6" fillId="3" borderId="7" xfId="1" applyFont="1" applyFill="1" applyBorder="1"/>
    <xf numFmtId="9" fontId="6" fillId="3" borderId="8" xfId="1" applyFont="1" applyFill="1" applyBorder="1"/>
    <xf numFmtId="164" fontId="9" fillId="3" borderId="0" xfId="0" applyNumberFormat="1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165" fontId="6" fillId="3" borderId="9" xfId="0" applyNumberFormat="1" applyFont="1" applyFill="1" applyBorder="1"/>
    <xf numFmtId="9" fontId="9" fillId="3" borderId="0" xfId="1" applyFont="1" applyFill="1" applyBorder="1"/>
    <xf numFmtId="164" fontId="17" fillId="0" borderId="0" xfId="0" applyNumberFormat="1" applyFont="1"/>
    <xf numFmtId="9" fontId="18" fillId="0" borderId="0" xfId="0" applyNumberFormat="1" applyFont="1"/>
  </cellXfs>
  <cellStyles count="3">
    <cellStyle name="Normal" xfId="0" builtinId="0"/>
    <cellStyle name="Normal 2" xfId="2" xr:uid="{B208AD73-D680-4699-BB95-841BEE58024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2007%20Monthly%20Forecast/Bank%20FY07%20Rolling%20Forecast%20March%201%20on%203-09-07%2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ICHDFS01/Marketing/EXCEL/BOARD.XLS" TargetMode="External"/><Relationship Id="rId1" Type="http://schemas.openxmlformats.org/officeDocument/2006/relationships/externalLinkPath" Target="/LICHDFS01/Marketing/EXCEL/BOAR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MC01/DWRiesmeyer$/Documents/MARY/MetalForm/Excel/Saline%20Ops/SALINE%2010%2000.xls" TargetMode="External"/><Relationship Id="rId1" Type="http://schemas.openxmlformats.org/officeDocument/2006/relationships/externalLinkPath" Target="/CMC01/DWRiesmeyer$/Documents/MARY/MetalForm/Excel/Saline%20Ops/SALINE%2010%20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MC01/DWRiesmeyer$/Documents/MARY/MetalForm/Excel/Saline%20Ops/SALINE%2012%2000.xls" TargetMode="External"/><Relationship Id="rId1" Type="http://schemas.openxmlformats.org/officeDocument/2006/relationships/externalLinkPath" Target="/CMC01/DWRiesmeyer$/Documents/MARY/MetalForm/Excel/Saline%20Ops/SALINE%2012%2000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MC01/DWRiesmeyer$/Documents/MARY/MetalForm/Excel/Saline%20Ops/SALINE%2011%2000.xls" TargetMode="External"/><Relationship Id="rId1" Type="http://schemas.openxmlformats.org/officeDocument/2006/relationships/externalLinkPath" Target="/CMC01/DWRiesmeyer$/Documents/MARY/MetalForm/Excel/Saline%20Ops/SALINE%2011%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Cash Flow"/>
      <sheetName val="Rolling 2007 Forecast"/>
      <sheetName val="IncStmt"/>
      <sheetName val="Alum Basis"/>
      <sheetName val="13wk Cash Flow"/>
      <sheetName val="CF Receipts Summary"/>
      <sheetName val="ExtSales"/>
      <sheetName val="Std"/>
      <sheetName val="Pdexp"/>
      <sheetName val="Variance"/>
      <sheetName val="Plan Summary"/>
      <sheetName val="Release"/>
      <sheetName val="Sales Fcst"/>
      <sheetName val="PurchPrice"/>
      <sheetName val="Calendar"/>
      <sheetName val="StdMat"/>
      <sheetName val="Product Line"/>
      <sheetName val="Shutdown Accrual"/>
      <sheetName val="Benefits"/>
      <sheetName val="Fuels &amp; Utilities"/>
      <sheetName val="Manning"/>
      <sheetName val="Cast"/>
      <sheetName val="Scrap$"/>
      <sheetName val="Box"/>
      <sheetName val="UnSales"/>
      <sheetName val="MacSP"/>
      <sheetName val="Selling Basis"/>
      <sheetName val="Per EU"/>
      <sheetName val="Scrap%"/>
      <sheetName val="StdScp"/>
      <sheetName val="Inv"/>
      <sheetName val="Prod"/>
      <sheetName val="ShipWgt"/>
      <sheetName val="GrsWgt"/>
      <sheetName val="StdLbr"/>
      <sheetName val="PP1Lbr"/>
      <sheetName val="PP2Lbr"/>
      <sheetName val="StdOH"/>
      <sheetName val="PP1OH"/>
      <sheetName val="PP2OH"/>
      <sheetName val="Wght Var"/>
      <sheetName val="LaborDetail"/>
      <sheetName val="Risk &amp; Opp"/>
      <sheetName val="Income Statement"/>
      <sheetName val="Borrowing base"/>
      <sheetName val="Liquidity Summary"/>
      <sheetName val="CF Receipts Detail"/>
      <sheetName val="CF Disbursement Summary"/>
      <sheetName val="CF Tooling Detail"/>
      <sheetName val="CF CAPEX"/>
      <sheetName val="CF Aluminum Detail"/>
      <sheetName val="CF Wages Detail"/>
      <sheetName val="CF Med &amp; Dent"/>
      <sheetName val="CF Utilities"/>
      <sheetName val="CF Natural gas"/>
      <sheetName val="Accrued Wages"/>
      <sheetName val="AP Projections"/>
      <sheetName val="AR aging"/>
      <sheetName val="AP Aging"/>
      <sheetName val="Impro"/>
      <sheetName val="Commision"/>
      <sheetName val="Assumptions"/>
      <sheetName val="Sheet1"/>
      <sheetName val="13-Week Cash Flow "/>
      <sheetName val="Road Map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OSED"/>
      <sheetName val="ARAging"/>
      <sheetName val="BACKSELL"/>
      <sheetName val="PLSUM"/>
      <sheetName val="COSTSUM"/>
      <sheetName val="CF"/>
      <sheetName val="BACKLOG"/>
      <sheetName val="KPI"/>
      <sheetName val="incstmt"/>
    </sheetNames>
    <sheetDataSet>
      <sheetData sheetId="0" refreshError="1">
        <row r="7">
          <cell r="C7" t="str">
            <v>Jan</v>
          </cell>
          <cell r="D7" t="str">
            <v>Feb</v>
          </cell>
          <cell r="E7" t="str">
            <v>Mar</v>
          </cell>
          <cell r="F7" t="str">
            <v>Apr</v>
          </cell>
          <cell r="G7" t="str">
            <v>May</v>
          </cell>
          <cell r="H7" t="str">
            <v>Jun</v>
          </cell>
          <cell r="I7" t="str">
            <v>Jul</v>
          </cell>
          <cell r="J7" t="str">
            <v>Aug</v>
          </cell>
          <cell r="K7" t="str">
            <v>Sep</v>
          </cell>
          <cell r="L7" t="str">
            <v>Oct</v>
          </cell>
          <cell r="M7" t="str">
            <v>Nov</v>
          </cell>
          <cell r="N7" t="str">
            <v>Dec</v>
          </cell>
        </row>
        <row r="10">
          <cell r="C10">
            <v>4172</v>
          </cell>
          <cell r="D10">
            <v>2264</v>
          </cell>
          <cell r="E10">
            <v>4747</v>
          </cell>
          <cell r="F10">
            <v>3823</v>
          </cell>
          <cell r="G10">
            <v>3738</v>
          </cell>
          <cell r="H10">
            <v>3911</v>
          </cell>
        </row>
        <row r="11">
          <cell r="C11">
            <v>3593</v>
          </cell>
          <cell r="D11">
            <v>1810</v>
          </cell>
          <cell r="E11">
            <v>4108</v>
          </cell>
          <cell r="F11">
            <v>3863</v>
          </cell>
          <cell r="G11">
            <v>3262</v>
          </cell>
          <cell r="H11">
            <v>3340</v>
          </cell>
        </row>
        <row r="12">
          <cell r="C12">
            <v>579</v>
          </cell>
          <cell r="D12">
            <v>454</v>
          </cell>
          <cell r="E12">
            <v>639</v>
          </cell>
          <cell r="F12">
            <v>-40</v>
          </cell>
          <cell r="G12">
            <v>476</v>
          </cell>
          <cell r="H12">
            <v>571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>
            <v>0.13878235858101631</v>
          </cell>
          <cell r="D13">
            <v>0.20053003533568906</v>
          </cell>
          <cell r="E13">
            <v>0.13461133347377291</v>
          </cell>
          <cell r="F13">
            <v>-1.0462987182840701E-2</v>
          </cell>
          <cell r="G13">
            <v>0.12734082397003746</v>
          </cell>
          <cell r="H13">
            <v>0.14599846586550755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6">
          <cell r="C16">
            <v>13776</v>
          </cell>
          <cell r="D16">
            <v>9037</v>
          </cell>
          <cell r="E16">
            <v>14887</v>
          </cell>
          <cell r="F16">
            <v>27634</v>
          </cell>
          <cell r="G16">
            <v>9753</v>
          </cell>
          <cell r="H16">
            <v>15627</v>
          </cell>
        </row>
        <row r="17">
          <cell r="C17">
            <v>14912</v>
          </cell>
          <cell r="D17">
            <v>10411</v>
          </cell>
          <cell r="E17">
            <v>17377</v>
          </cell>
          <cell r="F17">
            <v>33318</v>
          </cell>
          <cell r="G17">
            <v>10770</v>
          </cell>
          <cell r="H17">
            <v>15663</v>
          </cell>
        </row>
        <row r="18">
          <cell r="C18">
            <v>-1136</v>
          </cell>
          <cell r="D18">
            <v>-1374</v>
          </cell>
          <cell r="E18">
            <v>-2490</v>
          </cell>
          <cell r="F18">
            <v>-5684</v>
          </cell>
          <cell r="G18">
            <v>-1017</v>
          </cell>
          <cell r="H18">
            <v>-36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C19">
            <v>-8.2462253193960514E-2</v>
          </cell>
          <cell r="D19">
            <v>-0.15204160672789643</v>
          </cell>
          <cell r="E19">
            <v>-0.16726002552562638</v>
          </cell>
          <cell r="F19">
            <v>-0.20568864442353621</v>
          </cell>
          <cell r="G19">
            <v>-0.10427560750538296</v>
          </cell>
          <cell r="H19">
            <v>-2.3037051257439049E-3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2">
          <cell r="C22">
            <v>172</v>
          </cell>
          <cell r="D22">
            <v>0</v>
          </cell>
          <cell r="E22">
            <v>97</v>
          </cell>
          <cell r="F22">
            <v>55</v>
          </cell>
          <cell r="G22">
            <v>17927</v>
          </cell>
          <cell r="H22">
            <v>32</v>
          </cell>
        </row>
        <row r="23">
          <cell r="C23">
            <v>414</v>
          </cell>
          <cell r="D23">
            <v>186</v>
          </cell>
          <cell r="E23">
            <v>95</v>
          </cell>
          <cell r="F23">
            <v>40</v>
          </cell>
          <cell r="G23">
            <v>15127</v>
          </cell>
          <cell r="H23">
            <v>26</v>
          </cell>
        </row>
        <row r="24">
          <cell r="C24">
            <v>-242</v>
          </cell>
          <cell r="D24">
            <v>-186</v>
          </cell>
          <cell r="E24">
            <v>2</v>
          </cell>
          <cell r="F24">
            <v>15</v>
          </cell>
          <cell r="G24">
            <v>2800</v>
          </cell>
          <cell r="H24">
            <v>6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8">
          <cell r="C28">
            <v>18120</v>
          </cell>
          <cell r="D28">
            <v>11301</v>
          </cell>
          <cell r="E28">
            <v>19731</v>
          </cell>
          <cell r="F28">
            <v>31512</v>
          </cell>
          <cell r="G28">
            <v>31418</v>
          </cell>
          <cell r="H28">
            <v>19570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18919</v>
          </cell>
          <cell r="D29">
            <v>12407</v>
          </cell>
          <cell r="E29">
            <v>21580</v>
          </cell>
          <cell r="F29">
            <v>37221</v>
          </cell>
          <cell r="G29">
            <v>29159</v>
          </cell>
          <cell r="H29">
            <v>19029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>
            <v>-799</v>
          </cell>
          <cell r="D30">
            <v>-1106</v>
          </cell>
          <cell r="E30">
            <v>-1849</v>
          </cell>
          <cell r="F30">
            <v>-5709</v>
          </cell>
          <cell r="G30">
            <v>2259</v>
          </cell>
          <cell r="H30">
            <v>541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-4.4094922737306842E-2</v>
          </cell>
          <cell r="D31">
            <v>-9.7867445358817806E-2</v>
          </cell>
          <cell r="E31">
            <v>-9.3710404946530837E-2</v>
          </cell>
          <cell r="F31">
            <v>-0.18116907844630617</v>
          </cell>
          <cell r="G31">
            <v>7.1901457763065765E-2</v>
          </cell>
          <cell r="H31">
            <v>2.7644353602452734E-2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7">
          <cell r="B37" t="str">
            <v>PYTD</v>
          </cell>
          <cell r="C37" t="str">
            <v>Jan</v>
          </cell>
          <cell r="D37" t="str">
            <v>Feb</v>
          </cell>
          <cell r="E37" t="str">
            <v>Mar</v>
          </cell>
          <cell r="F37" t="str">
            <v>Apr</v>
          </cell>
          <cell r="G37" t="str">
            <v>May</v>
          </cell>
        </row>
        <row r="38">
          <cell r="B38">
            <v>90721</v>
          </cell>
          <cell r="C38">
            <v>6561</v>
          </cell>
          <cell r="D38">
            <v>6032</v>
          </cell>
          <cell r="E38">
            <v>10322</v>
          </cell>
          <cell r="F38">
            <v>12323</v>
          </cell>
          <cell r="G38">
            <v>2807</v>
          </cell>
        </row>
        <row r="39">
          <cell r="B39">
            <v>114920</v>
          </cell>
          <cell r="C39">
            <v>7828</v>
          </cell>
          <cell r="D39">
            <v>7602</v>
          </cell>
          <cell r="E39">
            <v>13088</v>
          </cell>
          <cell r="F39">
            <v>16260</v>
          </cell>
          <cell r="G39">
            <v>4424</v>
          </cell>
        </row>
        <row r="40">
          <cell r="B40">
            <v>-24199</v>
          </cell>
          <cell r="C40">
            <v>-1267</v>
          </cell>
          <cell r="D40">
            <v>-1570</v>
          </cell>
          <cell r="E40">
            <v>-2766</v>
          </cell>
          <cell r="F40">
            <v>-3937</v>
          </cell>
          <cell r="G40">
            <v>-1617</v>
          </cell>
        </row>
        <row r="41">
          <cell r="C41">
            <v>-0.19311080627953056</v>
          </cell>
          <cell r="D41">
            <v>-0.26027851458885942</v>
          </cell>
          <cell r="E41">
            <v>-0.26797132338694052</v>
          </cell>
          <cell r="F41">
            <v>-0.31948389190943766</v>
          </cell>
          <cell r="G41">
            <v>-0.57605985037406482</v>
          </cell>
          <cell r="H41">
            <v>-0.19908033540708683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5">
          <cell r="C45">
            <v>18120</v>
          </cell>
          <cell r="D45">
            <v>29421</v>
          </cell>
          <cell r="E45">
            <v>49152</v>
          </cell>
          <cell r="F45">
            <v>80664</v>
          </cell>
          <cell r="G45">
            <v>112082</v>
          </cell>
        </row>
        <row r="46">
          <cell r="C46">
            <v>18919</v>
          </cell>
          <cell r="D46">
            <v>31326</v>
          </cell>
          <cell r="E46">
            <v>52906</v>
          </cell>
          <cell r="F46">
            <v>90127</v>
          </cell>
          <cell r="G46">
            <v>119286</v>
          </cell>
        </row>
        <row r="47">
          <cell r="C47">
            <v>-799</v>
          </cell>
          <cell r="D47">
            <v>-1905</v>
          </cell>
          <cell r="E47">
            <v>-3754</v>
          </cell>
          <cell r="F47">
            <v>-9463</v>
          </cell>
          <cell r="G47">
            <v>-7204</v>
          </cell>
        </row>
        <row r="59">
          <cell r="A59" t="str">
            <v>Jan</v>
          </cell>
          <cell r="G59">
            <v>0.13878235858101631</v>
          </cell>
          <cell r="H59">
            <v>-8.2462253193960514E-2</v>
          </cell>
          <cell r="I59">
            <v>-0.19311080627953056</v>
          </cell>
          <cell r="J59">
            <v>-1.4069767441860466</v>
          </cell>
          <cell r="K59">
            <v>-4.4094922737306842E-2</v>
          </cell>
        </row>
        <row r="60">
          <cell r="A60" t="str">
            <v>Feb</v>
          </cell>
          <cell r="G60">
            <v>0.16050341827221876</v>
          </cell>
          <cell r="H60">
            <v>-0.1100249857537369</v>
          </cell>
          <cell r="I60">
            <v>-0.22528388787421583</v>
          </cell>
          <cell r="J60">
            <v>-2.4883720930232558</v>
          </cell>
          <cell r="K60">
            <v>-6.4749668604058327E-2</v>
          </cell>
        </row>
        <row r="61">
          <cell r="A61" t="str">
            <v>Mar</v>
          </cell>
          <cell r="G61">
            <v>0.14951265313422157</v>
          </cell>
          <cell r="H61">
            <v>-0.13262599469496023</v>
          </cell>
          <cell r="I61">
            <v>-0.24451232816932142</v>
          </cell>
          <cell r="J61">
            <v>-1.5836431226765799</v>
          </cell>
          <cell r="K61">
            <v>-7.6375325520833329E-2</v>
          </cell>
        </row>
        <row r="62">
          <cell r="A62" t="str">
            <v>Apr</v>
          </cell>
          <cell r="G62">
            <v>0.10875649740103958</v>
          </cell>
          <cell r="H62">
            <v>-0.16352894358220835</v>
          </cell>
          <cell r="I62">
            <v>-0.27073046143367957</v>
          </cell>
          <cell r="J62">
            <v>-1.2685185185185186</v>
          </cell>
          <cell r="K62">
            <v>-0.11731379549737181</v>
          </cell>
        </row>
        <row r="63">
          <cell r="A63" t="str">
            <v>May</v>
          </cell>
          <cell r="G63">
            <v>0.11246265471617584</v>
          </cell>
          <cell r="H63">
            <v>-0.15583256755496958</v>
          </cell>
          <cell r="I63">
            <v>-0.29325798396635561</v>
          </cell>
          <cell r="J63">
            <v>0.13089693715412853</v>
          </cell>
          <cell r="K63">
            <v>-6.4274370550132937E-2</v>
          </cell>
        </row>
        <row r="64">
          <cell r="A64" t="str">
            <v>Jun</v>
          </cell>
          <cell r="G64">
            <v>0.11825204149194438</v>
          </cell>
          <cell r="H64">
            <v>-0.12938465947924246</v>
          </cell>
          <cell r="I64">
            <v>-0.27793305310416161</v>
          </cell>
          <cell r="J64">
            <v>6.6200453314168836E-2</v>
          </cell>
          <cell r="K64">
            <v>-5.0610700938838758E-2</v>
          </cell>
        </row>
        <row r="65">
          <cell r="A65" t="str">
            <v>Jul</v>
          </cell>
          <cell r="G65">
            <v>0.11825204149194438</v>
          </cell>
          <cell r="H65">
            <v>-0.12938465947924246</v>
          </cell>
          <cell r="I65">
            <v>-0.27793305310416161</v>
          </cell>
          <cell r="J65">
            <v>0.13099600721982169</v>
          </cell>
          <cell r="K65">
            <v>-5.0610700938838758E-2</v>
          </cell>
        </row>
        <row r="66">
          <cell r="A66" t="str">
            <v>Aug</v>
          </cell>
        </row>
        <row r="67">
          <cell r="A67" t="str">
            <v>Sep</v>
          </cell>
        </row>
        <row r="68">
          <cell r="A68" t="str">
            <v>Oct</v>
          </cell>
        </row>
        <row r="69">
          <cell r="A69" t="str">
            <v>Nov</v>
          </cell>
        </row>
        <row r="70">
          <cell r="A70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  <sheetName val="Manbase"/>
      <sheetName val="Income"/>
      <sheetName val="Balance Sheet"/>
      <sheetName val="Cashflow"/>
      <sheetName val="Inc.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e Lin" id="{C30ABA50-14CC-4F42-B2C8-2414505951AA}" userId="1ab10ce1b91949c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3-05T02:19:04.31" personId="{C30ABA50-14CC-4F42-B2C8-2414505951AA}" id="{0BCC3EC8-4157-0642-AB5C-1E5149EF086D}">
    <text>As of 3/3/26</text>
  </threadedComment>
  <threadedComment ref="C14" dT="2026-03-04T02:54:00.67" personId="{C30ABA50-14CC-4F42-B2C8-2414505951AA}" id="{EBBEC3AA-10A8-D644-BF11-FB2E94045A15}">
    <text>Utilized 10% of the market cap</text>
  </threadedComment>
  <threadedComment ref="C16" dT="2026-03-05T23:46:12.68" personId="{C30ABA50-14CC-4F42-B2C8-2414505951AA}" id="{8496DA4C-1DDE-B241-ADF2-A1B4FB7B9AC6}">
    <text>Calculated as income tax expense / Pre-tax income (EBT)</text>
  </threadedComment>
  <threadedComment ref="E31" dT="2026-02-27T01:54:39.52" personId="{C30ABA50-14CC-4F42-B2C8-2414505951AA}" id="{BDB63963-9BA2-634C-A67F-F52A4F25563A}">
    <text>Debt/EBITDA ratio makes this amount of buyback extremely risky. However, Debt/EBITDA ratio already starts at a high level of 4.2x before any buybacks, and any buyback will worsen the ratio.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2A91-FEDF-4032-A958-54E29B4B52AB}">
  <dimension ref="B2:M31"/>
  <sheetViews>
    <sheetView tabSelected="1" topLeftCell="B2" zoomScale="181" zoomScaleNormal="160" zoomScaleSheetLayoutView="178" workbookViewId="0">
      <selection activeCell="E9" sqref="E9"/>
    </sheetView>
  </sheetViews>
  <sheetFormatPr baseColWidth="10" defaultColWidth="8.83203125" defaultRowHeight="15" x14ac:dyDescent="0.2"/>
  <cols>
    <col min="1" max="1" width="3.83203125" customWidth="1"/>
    <col min="2" max="2" width="29.5" bestFit="1" customWidth="1"/>
    <col min="3" max="9" width="9.6640625" customWidth="1"/>
    <col min="10" max="10" width="10.83203125" customWidth="1"/>
    <col min="11" max="12" width="9.6640625" customWidth="1"/>
  </cols>
  <sheetData>
    <row r="2" spans="2:13" x14ac:dyDescent="0.2">
      <c r="B2" s="1" t="s">
        <v>27</v>
      </c>
    </row>
    <row r="3" spans="2:13" x14ac:dyDescent="0.2">
      <c r="E3" s="2"/>
    </row>
    <row r="4" spans="2:13" x14ac:dyDescent="0.2">
      <c r="B4" s="3" t="s">
        <v>0</v>
      </c>
      <c r="C4" s="3"/>
      <c r="E4" s="2"/>
      <c r="F4" s="4" t="s">
        <v>1</v>
      </c>
      <c r="G4" s="4"/>
      <c r="H4" s="4"/>
      <c r="I4" s="4"/>
      <c r="J4" s="4"/>
      <c r="K4" s="4"/>
    </row>
    <row r="5" spans="2:13" x14ac:dyDescent="0.2">
      <c r="B5" s="5" t="s">
        <v>2</v>
      </c>
      <c r="C5" s="17">
        <v>508.4</v>
      </c>
    </row>
    <row r="6" spans="2:13" x14ac:dyDescent="0.2">
      <c r="B6" s="5" t="s">
        <v>3</v>
      </c>
      <c r="C6" s="18">
        <v>225.175601</v>
      </c>
    </row>
    <row r="7" spans="2:13" ht="18" x14ac:dyDescent="0.35">
      <c r="B7" s="5" t="s">
        <v>4</v>
      </c>
      <c r="C7" s="17">
        <v>26.17</v>
      </c>
      <c r="F7" s="6" t="s">
        <v>5</v>
      </c>
      <c r="G7" s="6" t="s">
        <v>6</v>
      </c>
      <c r="H7" s="7"/>
      <c r="I7" s="7"/>
      <c r="J7" s="7"/>
      <c r="K7" s="7"/>
    </row>
    <row r="8" spans="2:13" x14ac:dyDescent="0.2">
      <c r="B8" s="5" t="s">
        <v>7</v>
      </c>
      <c r="C8" s="41">
        <f>(C6*C7)/C5</f>
        <v>11.590962781608971</v>
      </c>
      <c r="D8" s="8"/>
      <c r="F8" s="45">
        <f>F24</f>
        <v>5.0941731762736975E-3</v>
      </c>
      <c r="G8" s="21">
        <f>H8-5</f>
        <v>25</v>
      </c>
      <c r="H8" s="21">
        <f>I8-5</f>
        <v>30</v>
      </c>
      <c r="I8" s="21">
        <v>35</v>
      </c>
      <c r="J8" s="21">
        <f>I8+5</f>
        <v>40</v>
      </c>
      <c r="K8" s="21">
        <f>J8+5</f>
        <v>45</v>
      </c>
      <c r="M8" s="9"/>
    </row>
    <row r="9" spans="2:13" x14ac:dyDescent="0.2">
      <c r="B9" s="5" t="s">
        <v>8</v>
      </c>
      <c r="C9" s="17">
        <v>891.3</v>
      </c>
      <c r="D9" s="9"/>
      <c r="F9" s="19">
        <f>F10+0.01</f>
        <v>0.12</v>
      </c>
      <c r="G9" s="30">
        <f t="dataTable" ref="G9:K13" dt2D="1" dtr="1" r1="C7" r2="C15"/>
        <v>-1.0421488737766271E-2</v>
      </c>
      <c r="H9" s="31">
        <v>-3.472800870754178E-2</v>
      </c>
      <c r="I9" s="31">
        <v>-5.9034528677317399E-2</v>
      </c>
      <c r="J9" s="31">
        <v>-8.3341048647092686E-2</v>
      </c>
      <c r="K9" s="32">
        <v>-0.10764756861686819</v>
      </c>
    </row>
    <row r="10" spans="2:13" ht="15" customHeight="1" x14ac:dyDescent="0.2">
      <c r="B10" s="5" t="s">
        <v>9</v>
      </c>
      <c r="C10" s="17">
        <f>906+2681</f>
        <v>3587</v>
      </c>
      <c r="D10" s="9"/>
      <c r="F10" s="19">
        <f>F11+0.01</f>
        <v>0.11</v>
      </c>
      <c r="G10" s="33">
        <v>-2.9377208369307795E-4</v>
      </c>
      <c r="H10" s="34">
        <v>-2.257474872265397E-2</v>
      </c>
      <c r="I10" s="34">
        <v>-4.4855725361614862E-2</v>
      </c>
      <c r="J10" s="34">
        <v>-6.7136702000575754E-2</v>
      </c>
      <c r="K10" s="35">
        <v>-8.9417678639536646E-2</v>
      </c>
    </row>
    <row r="11" spans="2:13" ht="15" customHeight="1" x14ac:dyDescent="0.2">
      <c r="B11" s="5" t="s">
        <v>10</v>
      </c>
      <c r="C11" s="40">
        <f>C10-C9</f>
        <v>2695.7</v>
      </c>
      <c r="D11" s="8"/>
      <c r="F11" s="20">
        <v>0.1</v>
      </c>
      <c r="G11" s="33">
        <v>9.8339445703796713E-3</v>
      </c>
      <c r="H11" s="34">
        <v>-1.0421488737766271E-2</v>
      </c>
      <c r="I11" s="34">
        <v>-3.0676922045912658E-2</v>
      </c>
      <c r="J11" s="34">
        <v>-5.0932355354058712E-2</v>
      </c>
      <c r="K11" s="35">
        <v>-7.1187788662204987E-2</v>
      </c>
    </row>
    <row r="12" spans="2:13" ht="15" customHeight="1" x14ac:dyDescent="0.2">
      <c r="B12" s="5" t="s">
        <v>11</v>
      </c>
      <c r="C12" s="17">
        <v>849</v>
      </c>
      <c r="F12" s="19">
        <f>F11-0.01</f>
        <v>9.0000000000000011E-2</v>
      </c>
      <c r="G12" s="33">
        <v>1.9961661224453087E-2</v>
      </c>
      <c r="H12" s="34">
        <v>1.7317712471214275E-3</v>
      </c>
      <c r="I12" s="34">
        <v>-1.6498118730210343E-2</v>
      </c>
      <c r="J12" s="34">
        <v>-3.472800870754178E-2</v>
      </c>
      <c r="K12" s="35">
        <v>-5.2957898684873328E-2</v>
      </c>
    </row>
    <row r="13" spans="2:13" ht="15" customHeight="1" x14ac:dyDescent="0.2">
      <c r="B13" s="5"/>
      <c r="C13" s="5"/>
      <c r="F13" s="19">
        <f>F12-0.01</f>
        <v>8.0000000000000016E-2</v>
      </c>
      <c r="G13" s="36">
        <v>3.0089377878526058E-2</v>
      </c>
      <c r="H13" s="37">
        <v>1.3885031232009126E-2</v>
      </c>
      <c r="I13" s="37">
        <v>-2.3193154145079165E-3</v>
      </c>
      <c r="J13" s="37">
        <v>-1.8523662061024959E-2</v>
      </c>
      <c r="K13" s="38">
        <v>-3.472800870754178E-2</v>
      </c>
    </row>
    <row r="14" spans="2:13" x14ac:dyDescent="0.2">
      <c r="B14" s="5" t="s">
        <v>12</v>
      </c>
      <c r="C14" s="44">
        <f>0.1*C7*C6</f>
        <v>589.28454781700009</v>
      </c>
    </row>
    <row r="15" spans="2:13" x14ac:dyDescent="0.2">
      <c r="B15" s="5" t="s">
        <v>13</v>
      </c>
      <c r="C15" s="10">
        <v>0.1</v>
      </c>
    </row>
    <row r="16" spans="2:13" x14ac:dyDescent="0.2">
      <c r="B16" s="5" t="s">
        <v>14</v>
      </c>
      <c r="C16" s="10">
        <f>109.2/617.6</f>
        <v>0.17681347150259066</v>
      </c>
    </row>
    <row r="18" spans="2:11" x14ac:dyDescent="0.2">
      <c r="B18" s="4" t="s">
        <v>15</v>
      </c>
      <c r="C18" s="4"/>
      <c r="D18" s="4"/>
      <c r="E18" s="4"/>
      <c r="F18" s="4"/>
    </row>
    <row r="20" spans="2:11" ht="18" x14ac:dyDescent="0.35">
      <c r="B20" s="11"/>
      <c r="C20" s="6" t="s">
        <v>26</v>
      </c>
      <c r="D20" s="6" t="s">
        <v>16</v>
      </c>
      <c r="E20" s="6" t="s">
        <v>17</v>
      </c>
      <c r="F20" s="6" t="s">
        <v>18</v>
      </c>
      <c r="H20" s="6"/>
      <c r="I20" s="6"/>
      <c r="J20" s="6"/>
      <c r="K20" s="6"/>
    </row>
    <row r="21" spans="2:11" ht="18" x14ac:dyDescent="0.35">
      <c r="B21" s="11" t="s">
        <v>19</v>
      </c>
      <c r="C21" s="6"/>
      <c r="D21" s="6"/>
      <c r="E21" s="6"/>
      <c r="F21" s="6"/>
    </row>
    <row r="22" spans="2:11" x14ac:dyDescent="0.2">
      <c r="B22" s="12" t="s">
        <v>3</v>
      </c>
      <c r="C22" s="22">
        <f>C6</f>
        <v>225.175601</v>
      </c>
      <c r="D22" s="23">
        <f>-C14/C7</f>
        <v>-22.517560100000001</v>
      </c>
      <c r="E22" s="22">
        <f>C22+D22</f>
        <v>202.6580409</v>
      </c>
      <c r="F22" s="24">
        <f>E22/C22-1</f>
        <v>-9.9999999999999978E-2</v>
      </c>
    </row>
    <row r="23" spans="2:11" ht="16" thickBot="1" x14ac:dyDescent="0.25">
      <c r="B23" s="12" t="s">
        <v>2</v>
      </c>
      <c r="C23" s="25">
        <f>C5</f>
        <v>508.4</v>
      </c>
      <c r="D23" s="26">
        <f>-C14*C15*(1-C16)</f>
        <v>-48.509110121464197</v>
      </c>
      <c r="E23" s="25">
        <f>C23+D23</f>
        <v>459.8908898785358</v>
      </c>
      <c r="F23" s="24">
        <f>E23/C23-1</f>
        <v>-9.5415244141353606E-2</v>
      </c>
    </row>
    <row r="24" spans="2:11" ht="16" thickBot="1" x14ac:dyDescent="0.25">
      <c r="B24" s="12" t="s">
        <v>20</v>
      </c>
      <c r="C24" s="27">
        <f>C5/C6</f>
        <v>2.2577934631558949</v>
      </c>
      <c r="D24" s="28">
        <f>(E24-C24)</f>
        <v>1.1501590897574854E-2</v>
      </c>
      <c r="E24" s="27">
        <f>E23/E22</f>
        <v>2.2692950540534698</v>
      </c>
      <c r="F24" s="29">
        <f>E24/C24-1</f>
        <v>5.0941731762736975E-3</v>
      </c>
    </row>
    <row r="25" spans="2:11" x14ac:dyDescent="0.2">
      <c r="B25" s="16" t="s">
        <v>21</v>
      </c>
      <c r="C25" s="14"/>
      <c r="D25" s="15"/>
      <c r="E25" s="14"/>
      <c r="F25" s="13"/>
    </row>
    <row r="26" spans="2:11" ht="16" thickBot="1" x14ac:dyDescent="0.25">
      <c r="B26" s="12" t="s">
        <v>22</v>
      </c>
      <c r="C26" s="39">
        <f>C6*C7</f>
        <v>5892.8454781700002</v>
      </c>
      <c r="D26" s="40">
        <f>E26-C26</f>
        <v>-562.26728998686212</v>
      </c>
      <c r="E26" s="39">
        <f>E23*C8</f>
        <v>5330.5781881831381</v>
      </c>
      <c r="F26" s="24">
        <f>E26/C26-1</f>
        <v>-9.5415244141353606E-2</v>
      </c>
    </row>
    <row r="27" spans="2:11" ht="16" thickBot="1" x14ac:dyDescent="0.25">
      <c r="B27" s="12" t="s">
        <v>4</v>
      </c>
      <c r="C27" s="27">
        <f>C7</f>
        <v>26.17</v>
      </c>
      <c r="D27" s="28">
        <f>E27-C27</f>
        <v>0.13331451202308386</v>
      </c>
      <c r="E27" s="27">
        <f>E26/E22</f>
        <v>26.303314512023086</v>
      </c>
      <c r="F27" s="29">
        <f>E27/C27-1</f>
        <v>5.0941731762736975E-3</v>
      </c>
    </row>
    <row r="28" spans="2:11" x14ac:dyDescent="0.2">
      <c r="B28" s="12" t="s">
        <v>23</v>
      </c>
      <c r="C28" s="41">
        <f>C27/C24</f>
        <v>11.590962781608971</v>
      </c>
      <c r="D28" s="41"/>
      <c r="E28" s="41">
        <f>E27/E24</f>
        <v>11.590962781608971</v>
      </c>
      <c r="F28" s="43">
        <f>E28/C28-1</f>
        <v>0</v>
      </c>
    </row>
    <row r="29" spans="2:11" x14ac:dyDescent="0.2">
      <c r="B29" s="16" t="s">
        <v>24</v>
      </c>
      <c r="C29" s="8"/>
      <c r="D29" s="8"/>
      <c r="E29" s="8"/>
      <c r="F29" s="13"/>
    </row>
    <row r="30" spans="2:11" ht="16" thickBot="1" x14ac:dyDescent="0.25">
      <c r="B30" s="12" t="s">
        <v>9</v>
      </c>
      <c r="C30" s="25">
        <f>C10</f>
        <v>3587</v>
      </c>
      <c r="D30" s="39">
        <f>C14</f>
        <v>589.28454781700009</v>
      </c>
      <c r="E30" s="25">
        <f>C30+D30</f>
        <v>4176.2845478170002</v>
      </c>
      <c r="F30" s="24">
        <f>E30/C30-1</f>
        <v>0.16428339777446332</v>
      </c>
      <c r="H30" t="str">
        <f t="shared" ref="H30:H31" ca="1" si="0">IFERROR(_xlfn.FORMULATEXT(C30),"")</f>
        <v>=C10</v>
      </c>
      <c r="I30" t="str">
        <f t="shared" ref="I30:I31" ca="1" si="1">IFERROR(_xlfn.FORMULATEXT(D30),"")</f>
        <v>=C14</v>
      </c>
      <c r="J30" t="str">
        <f t="shared" ref="J30:J31" ca="1" si="2">IFERROR(_xlfn.FORMULATEXT(E30),"")</f>
        <v>=C30+D30</v>
      </c>
      <c r="K30" t="str">
        <f t="shared" ref="K30:K31" ca="1" si="3">IFERROR(_xlfn.FORMULATEXT(F30),"")</f>
        <v>=E30/C30-1</v>
      </c>
    </row>
    <row r="31" spans="2:11" ht="16" thickBot="1" x14ac:dyDescent="0.25">
      <c r="B31" s="12" t="s">
        <v>25</v>
      </c>
      <c r="C31" s="41">
        <f>C30/C12</f>
        <v>4.2249705535924615</v>
      </c>
      <c r="D31" s="41">
        <f>D30/C12</f>
        <v>0.69409251804122507</v>
      </c>
      <c r="E31" s="42">
        <f>E30/C12</f>
        <v>4.9190630716336869</v>
      </c>
      <c r="F31" s="24">
        <f>E31/C31-1</f>
        <v>0.16428339777446355</v>
      </c>
      <c r="H31" t="str">
        <f t="shared" ca="1" si="0"/>
        <v>=C30/C12</v>
      </c>
      <c r="I31" t="str">
        <f t="shared" ca="1" si="1"/>
        <v>=D30/C12</v>
      </c>
      <c r="J31" t="str">
        <f t="shared" ca="1" si="2"/>
        <v>=E30/C12</v>
      </c>
      <c r="K31" t="str">
        <f t="shared" ca="1" si="3"/>
        <v>=E31/C31-1</v>
      </c>
    </row>
  </sheetData>
  <pageMargins left="0.75" right="0.75" top="1" bottom="1" header="0.5" footer="0.5"/>
  <pageSetup scale="9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Buyback</vt:lpstr>
      <vt:lpstr>Buyback!Print_Area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Art</dc:creator>
  <cp:lastModifiedBy>Denise Lin</cp:lastModifiedBy>
  <cp:lastPrinted>2025-12-18T23:22:25Z</cp:lastPrinted>
  <dcterms:created xsi:type="dcterms:W3CDTF">2025-12-18T23:18:31Z</dcterms:created>
  <dcterms:modified xsi:type="dcterms:W3CDTF">2026-06-24T01:57:48Z</dcterms:modified>
</cp:coreProperties>
</file>