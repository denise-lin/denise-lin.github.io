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eniselin/Desktop/Personal admin/Professional Development Planning/Finance portfolio/"/>
    </mc:Choice>
  </mc:AlternateContent>
  <xr:revisionPtr revIDLastSave="0" documentId="13_ncr:1_{F10ABD36-5F42-EF4E-A075-C04A4ECA4BDA}" xr6:coauthVersionLast="47" xr6:coauthVersionMax="47" xr10:uidLastSave="{00000000-0000-0000-0000-000000000000}"/>
  <bookViews>
    <workbookView xWindow="0" yWindow="660" windowWidth="29400" windowHeight="17500" activeTab="5" xr2:uid="{41CDE1DC-80DA-4488-A84E-A6EB6AC67D98}"/>
  </bookViews>
  <sheets>
    <sheet name="__FDSCACHE__" sheetId="2" state="veryHidden" r:id="rId1"/>
    <sheet name="Ford Financial Model 2022-2030" sheetId="1" r:id="rId2"/>
    <sheet name="COGS assumption testing" sheetId="6" r:id="rId3"/>
    <sheet name="Source data income statement" sheetId="5" r:id="rId4"/>
    <sheet name="Source data balance sheet" sheetId="3" r:id="rId5"/>
    <sheet name="Source data cash flow statement" sheetId="4" r:id="rId6"/>
  </sheets>
  <externalReferences>
    <externalReference r:id="rId7"/>
    <externalReference r:id="rId8"/>
    <externalReference r:id="rId9"/>
    <externalReference r:id="rId10"/>
    <externalReference r:id="rId11"/>
  </externalReferences>
  <definedNames>
    <definedName name="__123Graph_A" hidden="1">[1]IncStmt!#REF!</definedName>
    <definedName name="__123Graph_AClsCarr" hidden="1">[2]CLOSED!$B$38:$G$38</definedName>
    <definedName name="__123Graph_AClsCorr" hidden="1">[2]CLOSED!$C$22:$L$22</definedName>
    <definedName name="__123Graph_AClsCum" hidden="1">[2]CLOSED!$C$45:$G$45</definedName>
    <definedName name="__123Graph_AClsCust" hidden="1">[2]CLOSED!$C$10:$L$10</definedName>
    <definedName name="__123Graph_AClsLoft" hidden="1">[2]CLOSED!$C$28:$L$28</definedName>
    <definedName name="__123Graph_AClsMar" hidden="1">[2]CLOSED!$C$16:$M$16</definedName>
    <definedName name="__123Graph_AGraph1" hidden="1">[2]CLOSED!$C$19:$M$19</definedName>
    <definedName name="__123Graph_AGraph2" hidden="1">[2]CLOSED!$C$13:$M$13</definedName>
    <definedName name="__123Graph_AGraph3" hidden="1">[2]CLOSED!$C$41:$M$41</definedName>
    <definedName name="__123Graph_AGraph4" hidden="1">[2]CLOSED!$C$31:$M$31</definedName>
    <definedName name="__123Graph_AYTDVar" hidden="1">[2]CLOSED!$G$59:$G$65</definedName>
    <definedName name="__123Graph_B" hidden="1">[1]IncStmt!#REF!</definedName>
    <definedName name="__123Graph_BClsCarr" hidden="1">[2]CLOSED!$B$39:$G$39</definedName>
    <definedName name="__123Graph_BClsCorr" hidden="1">[2]CLOSED!$C$23:$L$23</definedName>
    <definedName name="__123Graph_BClsCum" hidden="1">[2]CLOSED!$C$46:$G$46</definedName>
    <definedName name="__123Graph_BClsCust" hidden="1">[2]CLOSED!$C$11:$L$11</definedName>
    <definedName name="__123Graph_BClsLoft" hidden="1">[2]CLOSED!$C$29:$L$29</definedName>
    <definedName name="__123Graph_BClsMar" hidden="1">[2]CLOSED!$C$17:$M$17</definedName>
    <definedName name="__123Graph_BYTDVar" hidden="1">[2]CLOSED!$H$59:$H$65</definedName>
    <definedName name="__123Graph_C" hidden="1">[1]IncStmt!#REF!</definedName>
    <definedName name="__123Graph_CClsCarr" hidden="1">[2]CLOSED!$B$40:$G$40</definedName>
    <definedName name="__123Graph_CClsCorr" hidden="1">[2]CLOSED!$C$24:$L$24</definedName>
    <definedName name="__123Graph_CClsCum" hidden="1">[2]CLOSED!$C$47:$G$47</definedName>
    <definedName name="__123Graph_CClsCust" hidden="1">[2]CLOSED!$C$12:$L$12</definedName>
    <definedName name="__123Graph_CClsLoft" hidden="1">[2]CLOSED!$C$30:$L$30</definedName>
    <definedName name="__123Graph_CClsMar" hidden="1">[2]CLOSED!$C$18:$M$18</definedName>
    <definedName name="__123Graph_CYTDVar" hidden="1">[2]CLOSED!$I$59:$I$65</definedName>
    <definedName name="__123Graph_D" hidden="1">[1]IncStmt!#REF!</definedName>
    <definedName name="__123Graph_DYTDVar" hidden="1">[2]CLOSED!$J$59:$J$65</definedName>
    <definedName name="__123Graph_E" hidden="1">[1]IncStmt!#REF!</definedName>
    <definedName name="__123Graph_EYTDVar" hidden="1">[2]CLOSED!$K$59:$K$65</definedName>
    <definedName name="__123Graph_F" hidden="1">[1]IncStmt!#REF!</definedName>
    <definedName name="__123Graph_XClsCarr" hidden="1">[2]CLOSED!$B$37:$G$37</definedName>
    <definedName name="__123Graph_XClsCorr" hidden="1">[2]CLOSED!$C$7:$L$7</definedName>
    <definedName name="__123Graph_XClsCum" hidden="1">[2]CLOSED!$C$37:$G$37</definedName>
    <definedName name="__123Graph_XClsCust" hidden="1">[2]CLOSED!$C$7:$N$7</definedName>
    <definedName name="__123Graph_XClsLoft" hidden="1">[2]CLOSED!$C$7:$N$7</definedName>
    <definedName name="__123Graph_XClsMar" hidden="1">[2]CLOSED!$C$7:$N$7</definedName>
    <definedName name="__123Graph_XGraph1" hidden="1">[2]CLOSED!$C$7:$M$7</definedName>
    <definedName name="__123Graph_XGraph2" hidden="1">[2]CLOSED!$C$7:$M$7</definedName>
    <definedName name="__123Graph_XGraph3" hidden="1">[2]CLOSED!$C$7:$M$7</definedName>
    <definedName name="__123Graph_XGraph4" hidden="1">[2]CLOSED!$C$7:$M$7</definedName>
    <definedName name="__123Graph_XYTDVar" hidden="1">[2]CLOSED!$A$59:$A$70</definedName>
    <definedName name="__APW_RESTORE_DATA1__" hidden="1">#REF!</definedName>
    <definedName name="__APW_RESTORE_DATA2__" hidden="1">#REF!,#REF!,#REF!,#REF!,#REF!,#REF!,#REF!,#REF!,#REF!,#REF!</definedName>
    <definedName name="__APW_RESTORE_DATA3__" hidden="1">#REF!,#REF!,#REF!,#REF!,#REF!,#REF!,#REF!,#REF!,#REF!,#REF!</definedName>
    <definedName name="__APW_RESTORE_DATA4__" hidden="1">#REF!,#REF!,#REF!,#REF!,#REF!,#REF!,#REF!,#REF!,#REF!,#REF!</definedName>
    <definedName name="__APW_RESTORE_DATA5__" hidden="1">#REF!,#REF!,#REF!,#REF!,#REF!,#REF!,#REF!,#REF!,#REF!,#REF!,#REF!</definedName>
    <definedName name="__APW_RESTORE_DATA6__" hidden="1">#REF!,#REF!,#REF!,#REF!,#REF!,#REF!,#REF!,#REF!,#REF!,#REF!</definedName>
    <definedName name="__APW_RESTORE_DATA7__" hidden="1">#REF!,#REF!,#REF!,#REF!,#REF!,#REF!,#REF!,#REF!,#REF!,#REF!</definedName>
    <definedName name="__APW_RESTORE_DATA8__" hidden="1">#REF!,#REF!,#REF!,#REF!,#REF!,#REF!,#REF!,#REF!,#REF!,#REF!</definedName>
    <definedName name="__APW_RESTORE_DATA9__" hidden="1">#REF!,#REF!,#REF!,#REF!,#REF!,#REF!,#REF!,#REF!,#REF!,#REF!</definedName>
    <definedName name="__APW_RESTORE_HYPERLINK0__" hidden="1">#REF!</definedName>
    <definedName name="__FDS_HYPERLINK_TOGGLE_STATE__" hidden="1">"ON"</definedName>
    <definedName name="__IntlFixup" hidden="1">TRUE</definedName>
    <definedName name="_1__123Graph_AClsCum" hidden="1">[2]CLOSED!$C$52:$G$52</definedName>
    <definedName name="_2__123Graph_BClsCum" hidden="1">[2]CLOSED!$C$53:$G$53</definedName>
    <definedName name="_3__123Graph_CClsCum" hidden="1">[2]CLOSED!$C$54:$G$54</definedName>
    <definedName name="_4__123Graph_XClsCum" hidden="1">[2]CLOSED!$C$37:$G$37</definedName>
    <definedName name="_bdm.0f541157f1d54bb0aebbb1ee86439e79.edm" localSheetId="2" hidden="1">'COGS assumption testing'!#REF!</definedName>
    <definedName name="_bdm.0f541157f1d54bb0aebbb1ee86439e79.edm" localSheetId="1" hidden="1">'Ford Financial Model 2022-2030'!#REF!</definedName>
    <definedName name="_bdm.21d389ff3f964e8b8ce396896a998697.edm" localSheetId="2" hidden="1">'COGS assumption testing'!#REF!</definedName>
    <definedName name="_bdm.21d389ff3f964e8b8ce396896a998697.edm" localSheetId="1" hidden="1">'Ford Financial Model 2022-2030'!#REF!</definedName>
    <definedName name="_bdm.2b745fc224884424be18a068ba824175.edm" localSheetId="2" hidden="1">'COGS assumption testing'!$B$54:$K$77</definedName>
    <definedName name="_bdm.2b745fc224884424be18a068ba824175.edm" localSheetId="1" hidden="1">'Ford Financial Model 2022-2030'!$B$54:$K$77</definedName>
    <definedName name="_bdm.3167b5a2583541ae82b5ae01454869d4.edm" localSheetId="2" hidden="1">'COGS assumption testing'!$B$81:$K$109</definedName>
    <definedName name="_bdm.3167b5a2583541ae82b5ae01454869d4.edm" localSheetId="1" hidden="1">'Ford Financial Model 2022-2030'!$B$81:$K$109</definedName>
    <definedName name="_bdm.3d584eabb57c4db8b78a587f91768635.edm" localSheetId="2" hidden="1">'COGS assumption testing'!$B$3:$E$3</definedName>
    <definedName name="_bdm.3d584eabb57c4db8b78a587f91768635.edm" localSheetId="1" hidden="1">'Ford Financial Model 2022-2030'!$B$3:$E$3</definedName>
    <definedName name="_bdm.43f49c2492814add8d178df31b692759.edm" hidden="1">#REF!</definedName>
    <definedName name="_bdm.456afb302a0b4555bc6417f8113a3f1c.edm" localSheetId="2" hidden="1">'COGS assumption testing'!$B$39:$K$51</definedName>
    <definedName name="_bdm.456afb302a0b4555bc6417f8113a3f1c.edm" localSheetId="1" hidden="1">'Ford Financial Model 2022-2030'!$B$39:$K$51</definedName>
    <definedName name="_bdm.4658d396fceb46bfb0124f6c54a2e52d.edm" localSheetId="2" hidden="1">'COGS assumption testing'!#REF!</definedName>
    <definedName name="_bdm.4658d396fceb46bfb0124f6c54a2e52d.edm" localSheetId="1" hidden="1">'Ford Financial Model 2022-2030'!#REF!</definedName>
    <definedName name="_bdm.48dc83410b8d45febef911b4d73aeaec.edm" localSheetId="2" hidden="1">'COGS assumption testing'!#REF!</definedName>
    <definedName name="_bdm.48dc83410b8d45febef911b4d73aeaec.edm" localSheetId="1" hidden="1">'Ford Financial Model 2022-2030'!#REF!</definedName>
    <definedName name="_bdm.5b76e65c5a71485296a3a87d731ddfc1.edm" localSheetId="2" hidden="1">'COGS assumption testing'!#REF!</definedName>
    <definedName name="_bdm.5b76e65c5a71485296a3a87d731ddfc1.edm" localSheetId="1" hidden="1">'Ford Financial Model 2022-2030'!#REF!</definedName>
    <definedName name="_bdm.60202a89538548098cb00689c70cf9de.edm" localSheetId="2" hidden="1">'COGS assumption testing'!$1:$1048576</definedName>
    <definedName name="_bdm.60202a89538548098cb00689c70cf9de.edm" hidden="1">'Ford Financial Model 2022-2030'!$1:$1048576</definedName>
    <definedName name="_bdm.6f2b80cf8b824297ab9efb039b46edb4.edm" localSheetId="2" hidden="1">'COGS assumption testing'!$B$54:$E$78</definedName>
    <definedName name="_bdm.6f2b80cf8b824297ab9efb039b46edb4.edm" localSheetId="1" hidden="1">'Ford Financial Model 2022-2030'!$B$54:$E$78</definedName>
    <definedName name="_bdm.703127036e064a02aa55e02b5fa1872f.edm" localSheetId="2" hidden="1">'COGS assumption testing'!$B$117:$K$136</definedName>
    <definedName name="_bdm.703127036e064a02aa55e02b5fa1872f.edm" localSheetId="1" hidden="1">'Ford Financial Model 2022-2030'!$B$117:$K$136</definedName>
    <definedName name="_bdm.761ba91dd0a24e8c8c57fe737175d65a.edm" localSheetId="2" hidden="1">'COGS assumption testing'!$B$3:$K$36</definedName>
    <definedName name="_bdm.761ba91dd0a24e8c8c57fe737175d65a.edm" localSheetId="1" hidden="1">'Ford Financial Model 2022-2030'!$B$3:$K$36</definedName>
    <definedName name="_bdm.795db3cd82314e618a71ff27dc7c6b65.edm" localSheetId="2" hidden="1">'COGS assumption testing'!$B$18:$E$21</definedName>
    <definedName name="_bdm.795db3cd82314e618a71ff27dc7c6b65.edm" localSheetId="1" hidden="1">'Ford Financial Model 2022-2030'!$B$18:$E$21</definedName>
    <definedName name="_bdm.7e5c826b6e0b4763837e559e4a0d5b82.edm" localSheetId="2" hidden="1">'COGS assumption testing'!$B$81:$E$109</definedName>
    <definedName name="_bdm.7e5c826b6e0b4763837e559e4a0d5b82.edm" localSheetId="1" hidden="1">'Ford Financial Model 2022-2030'!$B$81:$E$109</definedName>
    <definedName name="_bdm.ade7551b22ac445abcebfa678f5f85c6.edm" localSheetId="2" hidden="1">'COGS assumption testing'!#REF!</definedName>
    <definedName name="_bdm.ade7551b22ac445abcebfa678f5f85c6.edm" localSheetId="1" hidden="1">'Ford Financial Model 2022-2030'!#REF!</definedName>
    <definedName name="_bdm.aff8b75ad85e48a08e50739010ecd748.edm" localSheetId="2" hidden="1">'COGS assumption testing'!$B$92:$E$109</definedName>
    <definedName name="_bdm.aff8b75ad85e48a08e50739010ecd748.edm" localSheetId="1" hidden="1">'Ford Financial Model 2022-2030'!$B$92:$E$109</definedName>
    <definedName name="_bdm.baa23898b8b842f3a313be01dfa8682f.edm" localSheetId="2" hidden="1">'COGS assumption testing'!$B$81:$E$85</definedName>
    <definedName name="_bdm.baa23898b8b842f3a313be01dfa8682f.edm" localSheetId="1" hidden="1">'Ford Financial Model 2022-2030'!$B$81:$E$85</definedName>
    <definedName name="_bdm.c40aafac87de413eb46dbffe60b3324a.edm" localSheetId="2" hidden="1">'COGS assumption testing'!$B$39:$E$49</definedName>
    <definedName name="_bdm.c40aafac87de413eb46dbffe60b3324a.edm" localSheetId="1" hidden="1">'Ford Financial Model 2022-2030'!$B$39:$E$49</definedName>
    <definedName name="_bdm.d933ac237e66477995c061c0665caeb4.edm" localSheetId="2" hidden="1">'COGS assumption testing'!$B$3:$K$3</definedName>
    <definedName name="_bdm.d933ac237e66477995c061c0665caeb4.edm" localSheetId="1" hidden="1">'Ford Financial Model 2022-2030'!$B$3:$K$3</definedName>
    <definedName name="_bdm.e46342f2bec14c038f4dd5d803fe7aa4.edm" localSheetId="2" hidden="1">'COGS assumption testing'!#REF!</definedName>
    <definedName name="_bdm.e46342f2bec14c038f4dd5d803fe7aa4.edm" localSheetId="1" hidden="1">'Ford Financial Model 2022-2030'!#REF!</definedName>
    <definedName name="_bdm.e995222ce9a141728c40d2d1850e8fd6.edm" localSheetId="2" hidden="1">'COGS assumption testing'!#REF!</definedName>
    <definedName name="_bdm.e995222ce9a141728c40d2d1850e8fd6.edm" localSheetId="1" hidden="1">'Ford Financial Model 2022-2030'!#REF!</definedName>
    <definedName name="_Key1" hidden="1">'[3]TOP 10 CUST (L)'!#REF!</definedName>
    <definedName name="_Key2" hidden="1">'[4]TOP 10 CUST (L)'!#REF!</definedName>
    <definedName name="_Order1" hidden="1">255</definedName>
    <definedName name="_Order2" hidden="1">255</definedName>
    <definedName name="_Sort" hidden="1">'[3]TOP 10 CUST (L)'!#REF!</definedName>
    <definedName name="a" hidden="1">{#N/A,#N/A,FALSE,"Projections";#N/A,#N/A,FALSE,"Multiples Valuation";#N/A,#N/A,FALSE,"LBO";#N/A,#N/A,FALSE,"Multiples_Sensitivity";#N/A,#N/A,FALSE,"Summary"}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ccessDatabase" hidden="1">"C:\DATA\Kevin\Kevin's Model.mdb"</definedName>
    <definedName name="AS2DocOpenMode" hidden="1">"AS2DocumentEdit"</definedName>
    <definedName name="b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bb" hidden="1">{#N/A,#N/A,FALSE,"Assessment";#N/A,#N/A,FALSE,"Staffing";#N/A,#N/A,FALSE,"Hires";#N/A,#N/A,FALSE,"Assumptions"}</definedName>
    <definedName name="bbb" hidden="1">{#N/A,#N/A,FALSE,"Assessment";#N/A,#N/A,FALSE,"Staffing";#N/A,#N/A,FALSE,"Hires";#N/A,#N/A,FALSE,"Assumptions"}</definedName>
    <definedName name="bbbbb" hidden="1">{#N/A,#N/A,FALSE,"Assessment";#N/A,#N/A,FALSE,"Staffing";#N/A,#N/A,FALSE,"Hires";#N/A,#N/A,FALSE,"Assumptions"}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cc" hidden="1">{#N/A,#N/A,FALSE,"Assessment";#N/A,#N/A,FALSE,"Staffing";#N/A,#N/A,FALSE,"Hires";#N/A,#N/A,FALSE,"Assumptions"}</definedName>
    <definedName name="cccc" hidden="1">{#N/A,#N/A,FALSE,"Assessment";#N/A,#N/A,FALSE,"Staffing";#N/A,#N/A,FALSE,"Hires";#N/A,#N/A,FALSE,"Assumptions"}</definedName>
    <definedName name="coun" hidden="1">{#N/A,#N/A,FALSE,"Assessment";#N/A,#N/A,FALSE,"Staffing";#N/A,#N/A,FALSE,"Hires";#N/A,#N/A,FALSE,"Assumptions"}</definedName>
    <definedName name="COUNT2" hidden="1">{#N/A,#N/A,FALSE,"Assessment";#N/A,#N/A,FALSE,"Staffing";#N/A,#N/A,FALSE,"Hires";#N/A,#N/A,FALSE,"Assumptions"}</definedName>
    <definedName name="d" hidden="1">{#N/A,#N/A,FALSE,"Assessment";#N/A,#N/A,FALSE,"Staffing";#N/A,#N/A,FALSE,"Hires";#N/A,#N/A,FALSE,"Assumptions"}</definedName>
    <definedName name="de" hidden="1">{#N/A,#N/A,FALSE,"Assessment";#N/A,#N/A,FALSE,"Staffing";#N/A,#N/A,FALSE,"Hires";#N/A,#N/A,FALSE,"Assumptions"}</definedName>
    <definedName name="ev.Calculation" hidden="1">-4105</definedName>
    <definedName name="ev.Initialized" hidden="1">FALSE</definedName>
    <definedName name="f" hidden="1">{#N/A,#N/A,FALSE,"Assessment";#N/A,#N/A,FALSE,"Staffing";#N/A,#N/A,FALSE,"Hires";#N/A,#N/A,FALSE,"Assumptions"}</definedName>
    <definedName name="g" hidden="1">{#N/A,#N/A,FALSE,"Assessment";#N/A,#N/A,FALSE,"Staffing";#N/A,#N/A,FALSE,"Hires";#N/A,#N/A,FALSE,"Assumptions"}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ME" hidden="1">{#N/A,#N/A,FALSE,"Assessment";#N/A,#N/A,FALSE,"Staffing";#N/A,#N/A,FALSE,"Hires";#N/A,#N/A,FALSE,"Assumptions"}</definedName>
    <definedName name="HOMFE" hidden="1">{#N/A,#N/A,FALSE,"Assessment";#N/A,#N/A,FALSE,"Staffing";#N/A,#N/A,FALSE,"Hires";#N/A,#N/A,FALSE,"Assumptions"}</definedName>
    <definedName name="houy" hidden="1">{#N/A,#N/A,FALSE,"AD_Purchase";#N/A,#N/A,FALSE,"Credit";#N/A,#N/A,FALSE,"PF Acquisition";#N/A,#N/A,FALSE,"PF Offering"}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QUIRED_BY_REPORTING_BANK_FDIC" hidden="1">"c6535"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MENDED_BALANCE_PREVIOUS_YR_FDIC" hidden="1">"c6499"</definedName>
    <definedName name="IQ_AMORT_EXPENSE_FDIC" hidden="1">"c6677"</definedName>
    <definedName name="IQ_AMORTIZED_COST_FDIC" hidden="1">"c6426"</definedName>
    <definedName name="IQ_ANNUAL_DIVIDEND" hidden="1">"c229"</definedName>
    <definedName name="IQ_ASSET_BACKED_FDIC" hidden="1">"c6301"</definedName>
    <definedName name="IQ_ASSETS_HELD_FDIC" hidden="1">"c6305"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PRICE_TARGET" hidden="1">"c82"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ONDRATING_FITCH" hidden="1">"c223"</definedName>
    <definedName name="IQ_BONDRATING_FITCH_DATE" hidden="1">"c241"</definedName>
    <definedName name="IQ_BONDRATING_SP" hidden="1">"c224"</definedName>
    <definedName name="IQ_BONDRATING_SP_DATE" hidden="1">"c242"</definedName>
    <definedName name="IQ_BOOK_VALUE" hidden="1">"c68"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CASH_DIVIDENDS_NET_INCOME_FDIC" hidden="1">"c6738"</definedName>
    <definedName name="IQ_CASH_IN_PROCESS_FDIC" hidden="1">"c6386"</definedName>
    <definedName name="IQ_CCE_FDIC" hidden="1">"c6296"</definedName>
    <definedName name="IQ_CH" hidden="1">110000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MO_FDIC" hidden="1">"c6406"</definedName>
    <definedName name="IQ_COLLECTION_DOMESTIC_FDIC" hidden="1">"c6387"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RE_CONSTRUCTION_LAND_DEV_FDIC" hidden="1">"c6526"</definedName>
    <definedName name="IQ_COMMERCIAL_RE_LOANS_FDIC" hidden="1">"c6312"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_FDIC" hidden="1">"c6350"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TRACTS_OTHER_COMMODITIES_EQUITIES_FDIC" hidden="1">"c6522"</definedName>
    <definedName name="IQ_CONTRACTS_OTHER_COMMODITIES_EQUITIES._FDIC" hidden="1">"c6522"</definedName>
    <definedName name="IQ_CONV_RATE" hidden="1">"c2192"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OF_FUNDING_ASSETS_FDIC" hidden="1">"c6725"</definedName>
    <definedName name="IQ_CQ" hidden="1">5000</definedName>
    <definedName name="IQ_CREDIT_CARD_CHARGE_OFFS_FDIC" hidden="1">"c6652"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PROVISION_NET_CHARGE_OFFS_FDIC" hidden="1">"c6734"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ENCY_COIN_DOMESTIC_FDIC" hidden="1">"c6388"</definedName>
    <definedName name="IQ_CY" hidden="1">10000</definedName>
    <definedName name="IQ_DAILY">500000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RIVATIVES_FDIC" hidden="1">"c6523"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EARNING_ASSETS_FDIC" hidden="1">"c6360"</definedName>
    <definedName name="IQ_EARNING_ASSETS_YIELD_FDIC" hidden="1">"c6724"</definedName>
    <definedName name="IQ_EARNINGS_COVERAGE_NET_CHARGE_OFFS_FDIC" hidden="1">"c6735"</definedName>
    <definedName name="IQ_EBIT_10K" hidden="1">"IQ_EBIT_10K"</definedName>
    <definedName name="IQ_EBIT_10Q" hidden="1">"IQ_EBIT_10Q"</definedName>
    <definedName name="IQ_EBIT_10Q1" hidden="1">"IQ_EBIT_10Q1"</definedName>
    <definedName name="IQ_EBIT_GROWTH_1" hidden="1">"c157"</definedName>
    <definedName name="IQ_EBIT_GROWTH_2" hidden="1">"c161"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GROWTH_1" hidden="1">"c156"</definedName>
    <definedName name="IQ_EBITDA_GROWTH_2" hidden="1">"c160"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FFICIENCY_RATIO_FDIC" hidden="1">"c6736"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EST_1" hidden="1">"c189"</definedName>
    <definedName name="IQ_EQUITY_CAPITAL_ASSETS_FDIC" hidden="1">"c6744"</definedName>
    <definedName name="IQ_EQUITY_FDIC" hidden="1">"c6353"</definedName>
    <definedName name="IQ_EQUITY_SECURITIES_FDIC" hidden="1">"c6304"</definedName>
    <definedName name="IQ_EQUITY_SECURITY_EXPOSURES_FDIC" hidden="1">"c6664"</definedName>
    <definedName name="IQ_EST_EPS_SURPRISE" hidden="1">"c1635"</definedName>
    <definedName name="IQ_ESTIMATED_ASSESSABLE_DEPOSITS_FDIC" hidden="1">"c6490"</definedName>
    <definedName name="IQ_ESTIMATED_INSURED_DEPOSITS_FDIC" hidden="1">"c6491"</definedName>
    <definedName name="IQ_EV_OVER_REVENUE_EST" hidden="1">"c165"</definedName>
    <definedName name="IQ_EV_OVER_REVENUE_EST_1" hidden="1">"c166"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ED_FUNDS_PURCHASED_FDIC" hidden="1">"c6343"</definedName>
    <definedName name="IQ_FED_FUNDS_SOLD_FDIC" hidden="1">"c6307"</definedName>
    <definedName name="IQ_FH" hidden="1">100000</definedName>
    <definedName name="IQ_FHLB_ADVANCES_FDIC" hidden="1">"c6366"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N_DIV_CURRENT_PORT_DEBT_TOTAL" hidden="1">"c5524"</definedName>
    <definedName name="IQ_FIN_DIV_CURRENT_PORT_LEASES_TOTAL" hidden="1">"c5523"</definedName>
    <definedName name="IQ_FIN_DIV_DEBT_LT_TOTAL" hidden="1">"c5526"</definedName>
    <definedName name="IQ_FIN_DIV_LEASES_LT_TOTAL" hidden="1">"c5525"</definedName>
    <definedName name="IQ_FIN_DIV_NOTES_PAY_TOTAL" hidden="1">"c5522"</definedName>
    <definedName name="IQ_FIVE_PERCENT_AMOUNT" hidden="1">"c240"</definedName>
    <definedName name="IQ_FIVE_YEAR_FIXED_AND_FLOATING_RATE_FDIC" hidden="1">"c6422"</definedName>
    <definedName name="IQ_FIVE_YEAR_MORTGAGE_PASS_THROUGHS_FDIC" hidden="1">"c6414"</definedName>
    <definedName name="IQ_FIVEPERCENT_OWNER" hidden="1">"c239"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" hidden="1">"c225"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OSITS_NONTRANSACTION_ACCOUNTS_FDIC" hidden="1">"c6549"</definedName>
    <definedName name="IQ_FOREIGN_DEPOSITS_TRANSACTION_ACCOUNTS_FDIC" hidden="1">"c6541"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Q" hidden="1">500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_CONTRACTS_FDIC" hidden="1">"c6517"</definedName>
    <definedName name="IQ_FX_CONTRACTS_SPOT_FDIC" hidden="1">"c6356"</definedName>
    <definedName name="IQ_FY" hidden="1">1000</definedName>
    <definedName name="IQ_FY_DATE" hidden="1">"IQ_FY_DATE"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HELD_MATURITY_FDIC" hidden="1">"c6408"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IDER_3MTH_BOUGHT" hidden="1">"c1534"</definedName>
    <definedName name="IQ_INSIDER_3MTH_NET" hidden="1">"c1535"</definedName>
    <definedName name="IQ_INSIDER_3MTH_SOLD" hidden="1">"c1533"</definedName>
    <definedName name="IQ_INSIDER_6MTH_BOUGHT" hidden="1">"c1537"</definedName>
    <definedName name="IQ_INSIDER_6MTH_NET" hidden="1">"c1538"</definedName>
    <definedName name="IQ_INSIDER_6MTH_SOLD" hidden="1">"c1536"</definedName>
    <definedName name="IQ_INSIDER_AMOUNT" hidden="1">"c238"</definedName>
    <definedName name="IQ_INSIDER_LOANS_FDIC" hidden="1">"c6365"</definedName>
    <definedName name="IQ_INSTITUTIONAL_AMOUNT" hidden="1">"c236"</definedName>
    <definedName name="IQ_INSTITUTIONS_EARNINGS_GAINS_FDIC" hidden="1">"c6723"</definedName>
    <definedName name="IQ_INSURANCE_COMMISSION_FEES_FDIC" hidden="1">"c6670"</definedName>
    <definedName name="IQ_INSURANCE_UNDERWRITING_INCOME_FDIC" hidden="1">"c6671"</definedName>
    <definedName name="IQ_INT_DEMAND_NOTES_FDIC" hidden="1">"c6567"</definedName>
    <definedName name="IQ_INT_DOMESTIC_DEPOSITS_FDIC" hidden="1">"c6564"</definedName>
    <definedName name="IQ_INT_EXP_TOTAL_FDIC" hidden="1">"c6569"</definedName>
    <definedName name="IQ_INT_FED_FUNDS_FDIC" hidden="1">"c6566"</definedName>
    <definedName name="IQ_INT_FOREIGN_DEPOSITS_FDIC" hidden="1">"c6565"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OREIGN_LOANS_FDIC" hidden="1">"c6556"</definedName>
    <definedName name="IQ_INT_INC_LEASE_RECEIVABLES_FDIC" hidden="1">"c6557"</definedName>
    <definedName name="IQ_INT_INC_OTHER_FDIC" hidden="1">"c6562"</definedName>
    <definedName name="IQ_INT_INC_SECURITIES_FDIC" hidden="1">"c6559"</definedName>
    <definedName name="IQ_INT_INC_TOTAL_FDIC" hidden="1">"c6563"</definedName>
    <definedName name="IQ_INT_INC_TRADING_ACCOUNTS_FDIC" hidden="1">"c6560"</definedName>
    <definedName name="IQ_INT_SUB_NOTES_FDIC" hidden="1">"c6568"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RATE_CONTRACTS_FDIC" hidden="1">"c6512"</definedName>
    <definedName name="IQ_INTEREST_RATE_EXPOSURES_FDIC" hidden="1">"c6662"</definedName>
    <definedName name="IQ_INVESTMENT_BANKING_OTHER_FEES_FDIC" hidden="1">"c6666"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UED_GUARANTEED_US_FDIC" hidden="1">"c6404"</definedName>
    <definedName name="IQ_LAST_EBIT_MARGIN" hidden="1">"c151"</definedName>
    <definedName name="IQ_LAST_EBITDA_MARGIN" hidden="1">"c150"</definedName>
    <definedName name="IQ_LAST_GROSS_MARGIN" hidden="1">"c149"</definedName>
    <definedName name="IQ_LAST_NET_INC_MARGIN" hidden="1">"c152"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IFE_INSURANCE_ASSETS_FDIC" hidden="1">"c6372"</definedName>
    <definedName name="IQ_LOAN_COMMITMENTS_REVOLVING_FDIC" hidden="1">"c6524"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S_AND_LEASES_HELD_FDIC" hidden="1">"c6367"</definedName>
    <definedName name="IQ_LOANS_DEPOSITORY_INSTITUTIONS_FDIC" hidden="1">"c6382"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SS_ALLOWANCE_LOANS_FDIC" hidden="1">"c6739"</definedName>
    <definedName name="IQ_LTM" hidden="1">2000</definedName>
    <definedName name="IQ_LTM_DATE" hidden="1">"IQ_LTM_DATE"</definedName>
    <definedName name="IQ_LTMMONTH" hidden="1">120000</definedName>
    <definedName name="IQ_MATURITY_ONE_YEAR_LESS_FDIC" hidden="1">"c6425"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ONEY_MARKET_DEPOSIT_ACCOUNTS_FDIC" hidden="1">"c6553"</definedName>
    <definedName name="IQ_MONTH" hidden="1">15000</definedName>
    <definedName name="IQ_MORTGAGE_BACKED_SECURITIES_FDIC" hidden="1">"c6402"</definedName>
    <definedName name="IQ_MORTGAGE_SERVICING_FDIC" hidden="1">"c6335"</definedName>
    <definedName name="IQ_MULTIFAMILY_RESIDENTIAL_LOANS_FDIC" hidden="1">"c6311"</definedName>
    <definedName name="IQ_NAMES_REVISION_DATE_" hidden="1">40211.4080902778</definedName>
    <definedName name="IQ_NET_CHARGE_OFFS_FDIC" hidden="1">"c6641"</definedName>
    <definedName name="IQ_NET_CHARGE_OFFS_LOANS_FDIC" hidden="1">"c6751"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GROWTH_1" hidden="1">"c158"</definedName>
    <definedName name="IQ_NET_INC_GROWTH_2" hidden="1">"c162"</definedName>
    <definedName name="IQ_NET_INCOME_FDIC" hidden="1">"c6587"</definedName>
    <definedName name="IQ_NET_INT_INC_BNK_FDIC" hidden="1">"c6570"</definedName>
    <definedName name="IQ_NET_INTEREST_MARGIN_FDIC" hidden="1">"c6726"</definedName>
    <definedName name="IQ_NET_LOANS_LEASES_CORE_DEPOSITS_FDIC" hidden="1">"c6743"</definedName>
    <definedName name="IQ_NET_LOANS_LEASES_DEPOSITS_FDIC" hidden="1">"c6742"</definedName>
    <definedName name="IQ_NET_OPERATING_INCOME_ASSETS_FDIC" hidden="1">"c6729"</definedName>
    <definedName name="IQ_NET_SECURITIZATION_INCOME_FDIC" hidden="1">"c6669"</definedName>
    <definedName name="IQ_NET_SERVICING_FEES_FDIC" hidden="1">"c6668"</definedName>
    <definedName name="IQ_NON_INT_EXP_FDIC" hidden="1">"c6579"</definedName>
    <definedName name="IQ_NON_INT_INC_FDIC" hidden="1">"c6575"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TM" hidden="1">6000</definedName>
    <definedName name="IQ_NUMBER_DEPOSITS_LESS_THAN_100K_FDIC" hidden="1">"c6495"</definedName>
    <definedName name="IQ_NUMBER_DEPOSITS_MORE_THAN_100K_FDIC" hidden="1">"c6493"</definedName>
    <definedName name="IQ_OBLIGATIONS_OF_STATES_TOTAL_LOANS_FOREIGN_FDIC" hidden="1">"c6447"</definedName>
    <definedName name="IQ_OBLIGATIONS_STATES_FDIC" hidden="1">"c6431"</definedName>
    <definedName name="IQ_OG_TOTAL_OIL_PRODUCTON" hidden="1">"c2059"</definedName>
    <definedName name="IQ_OPENED55" hidden="1">1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SSETS_FDIC" hidden="1">"c6338"</definedName>
    <definedName name="IQ_OTHER_BORROWED_FUNDS_FDIC" hidden="1">"c6345"</definedName>
    <definedName name="IQ_OTHER_COMPREHENSIVE_INCOME_FDIC" hidden="1">"c6503"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INSURANCE_FEES_FDIC" hidden="1">"c6672"</definedName>
    <definedName name="IQ_OTHER_INTANGIBLE_FDIC" hidden="1">"c6337"</definedName>
    <definedName name="IQ_OTHER_LIABILITIES_FDIC" hidden="1">"c6347"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NON_INT_EXP_FDIC" hidden="1">"c6578"</definedName>
    <definedName name="IQ_OTHER_NON_INT_EXPENSE_FDIC" hidden="1">"c6679"</definedName>
    <definedName name="IQ_OTHER_NON_INT_INC_FDIC" hidden="1">"c6676"</definedName>
    <definedName name="IQ_OTHER_OFF_BS_LIAB_FDIC" hidden="1">"c6533"</definedName>
    <definedName name="IQ_OTHER_RE_OWNED_FDIC" hidden="1">"c6330"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ERCENT_FLOAT" hidden="1">"c227"</definedName>
    <definedName name="IQ_PERCENT_INSURED_FDIC" hidden="1">"c6374"</definedName>
    <definedName name="IQ_PLEDGED_SECURITIES_FDIC" hidden="1">"c6401"</definedName>
    <definedName name="IQ_PRE_TAX_INCOME_FDIC" hidden="1">"c6581"</definedName>
    <definedName name="IQ_PREFERRED_FDIC" hidden="1">"c6349"</definedName>
    <definedName name="IQ_PREMISES_EQUIPMENT_FDIC" hidden="1">"c6577"</definedName>
    <definedName name="IQ_PRETAX_INC" hidden="1">"c16"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RETURN_ASSETS_FDIC" hidden="1">"c6731"</definedName>
    <definedName name="IQ_PRICE_OVER_EPS_EST" hidden="1">"c174"</definedName>
    <definedName name="IQ_PRICE_OVER_EPS_EST_1" hidden="1">"c175"</definedName>
    <definedName name="IQ_PRICEDATETIME" hidden="1">"IQ_PRICEDATETIME"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LATED_PLANS_FDIC" hidden="1">"c6320"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TATEMENTS_NET_FDIC" hidden="1">"c6500"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DEPOSITS_FDIC" hidden="1">"c6488"</definedName>
    <definedName name="IQ_RETAINED_EARNINGS_AVERAGE_EQUITY_FDIC" hidden="1">"c6733"</definedName>
    <definedName name="IQ_RETURN_ASSETS_FDIC" hidden="1">"c6730"</definedName>
    <definedName name="IQ_RETURN_EQUITY_FDIC" hidden="1">"c6732"</definedName>
    <definedName name="IQ_REV_DATE" hidden="1">39777.4005324074</definedName>
    <definedName name="IQ_REVALUATION_GAINS_FDIC" hidden="1">"c6428"</definedName>
    <definedName name="IQ_REVALUATION_LOSSES_FDIC" hidden="1">"c6429"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EST_1" hidden="1">"c190"</definedName>
    <definedName name="IQ_REVENUE_GROWTH_1" hidden="1">"c155"</definedName>
    <definedName name="IQ_REVENUE_GROWTH_2" hidden="1">"c159"</definedName>
    <definedName name="IQ_RISK_WEIGHTED_ASSETS_FDIC" hidden="1">"c6370"</definedName>
    <definedName name="IQ_SALARY_FDIC" hidden="1">"c6576"</definedName>
    <definedName name="IQ_SALE_CONVERSION_RETIREMENT_STOCK_FDIC" hidden="1">"c6661"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RVICE_CHARGES_FDIC" hidden="1">"c6572"</definedName>
    <definedName name="IQ_SHAREOUTSTANDING" hidden="1">"c1347"</definedName>
    <definedName name="IQ_SHORT_INTEREST_VOLUME" hidden="1">"c228"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UB_DEBT_FDIC" hidden="1">"c6346"</definedName>
    <definedName name="IQ_SURPLUS_FDIC" hidden="1">"c6351"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AL_ASSETS_FDIC" hidden="1">"c6339"</definedName>
    <definedName name="IQ_TOTAL_CHARGE_OFFS_FDIC" hidden="1">"c6603"</definedName>
    <definedName name="IQ_TOTAL_DEBT_SECURITIES_FDIC" hidden="1">"c6410"</definedName>
    <definedName name="IQ_TOTAL_DEPOSITS_FDIC" hidden="1">"c6342"</definedName>
    <definedName name="IQ_TOTAL_EMPLOYEES_FDIC" hidden="1">"c6355"</definedName>
    <definedName name="IQ_TOTAL_LIAB_EQUITY_FDIC" hidden="1">"c6354"</definedName>
    <definedName name="IQ_TOTAL_LIABILITIES_FDIC" hidden="1">"c6348"</definedName>
    <definedName name="IQ_TOTAL_PENSION_OBLIGATION" hidden="1">"c1292"</definedName>
    <definedName name="IQ_TOTAL_RECOVERIES_FDIC" hidden="1">"c6622"</definedName>
    <definedName name="IQ_TOTAL_REV_BNK_FDIC" hidden="1">"c6786"</definedName>
    <definedName name="IQ_TOTAL_RISK_BASED_CAPITAL_RATIO_FDIC" hidden="1">"c6747"</definedName>
    <definedName name="IQ_TOTAL_SECURITIES_FDIC" hidden="1">"c6306"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RADING_ACCOUNT_GAINS_FEES_FDIC" hidden="1">"c6573"</definedName>
    <definedName name="IQ_TRADING_ASSETS_FDIC" hidden="1">"c6328"</definedName>
    <definedName name="IQ_TRADING_LIABILITIES_FDIC" hidden="1">"c6344"</definedName>
    <definedName name="IQ_TRANSACTION_ACCOUNTS_FDIC" hidden="1">"c6544"</definedName>
    <definedName name="IQ_TREASURY_STOCK_TRANSACTIONS_FDIC" hidden="1">"c6501"</definedName>
    <definedName name="IQ_TWELVE_MONTHS_FIXED_AND_FLOATING_FDIC" hidden="1">"c6420"</definedName>
    <definedName name="IQ_TWELVE_MONTHS_MORTGAGE_PASS_THROUGHS_FDIC" hidden="1">"c6412"</definedName>
    <definedName name="IQ_UNDIVIDED_PROFITS_FDIC" hidden="1">"c6352"</definedName>
    <definedName name="IQ_UNEARNED_INCOME_FDIC" hidden="1">"c6324"</definedName>
    <definedName name="IQ_UNEARNED_INCOME_FOREIGN_FDIC" hidden="1">"c6385"</definedName>
    <definedName name="IQ_UNPROFITABLE_INSTITUTIONS_FDIC" hidden="1">"c6722"</definedName>
    <definedName name="IQ_UNUSED_LOAN_COMMITMENTS_FDIC" hidden="1">"c6368"</definedName>
    <definedName name="IQ_US_BRANCHES_FOREIGN_BANK_LOANS_FDIC" hidden="1">"c6435"</definedName>
    <definedName name="IQ_US_BRANCHES_FOREIGN_BANKS_FDIC" hidden="1">"c6390"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VALUATION_ALLOWANCES_FDIC" hidden="1">"c6400"</definedName>
    <definedName name="IQ_VC_REVENUE_FDIC" hidden="1">"c6667"</definedName>
    <definedName name="IQ_VOLATILE_LIABILITIES_FDIC" hidden="1">"c6364"</definedName>
    <definedName name="IQ_WEEK" hidden="1">50000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YTD" hidden="1">3000</definedName>
    <definedName name="IQ_YTDMONTH" hidden="1">130000</definedName>
    <definedName name="IQSVitesseBX14" hidden="1">"$BX$15:$BX$17"</definedName>
    <definedName name="IQSVitesseBX17" hidden="1">"$BX$18"</definedName>
    <definedName name="IQSVitesseBX19" hidden="1">"$BX$20:$BX$22"</definedName>
    <definedName name="IQSVitesseBX23" hidden="1">"$BX$24:$BX$27"</definedName>
    <definedName name="IQSVitesseBX5" hidden="1">"$BX$6:$BX$16"</definedName>
    <definedName name="IsColHidden" hidden="1">FALSE</definedName>
    <definedName name="IsLTMColHidden" hidden="1">FALSE</definedName>
    <definedName name="KKK" hidden="1">{#N/A,#N/A,FALSE,"Assessment";#N/A,#N/A,FALSE,"Staffing";#N/A,#N/A,FALSE,"Hires";#N/A,#N/A,FALSE,"Assumptions"}</definedName>
    <definedName name="new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nnn" hidden="1">{#N/A,#N/A,FALSE,"Assessment";#N/A,#N/A,FALSE,"Staffing";#N/A,#N/A,FALSE,"Hires";#N/A,#N/A,FALSE,"Assumptions"}</definedName>
    <definedName name="ORCC" hidden="1">{#N/A,#N/A,FALSE,"Projections";#N/A,#N/A,FALSE,"Multiples Valuation";#N/A,#N/A,FALSE,"LBO";#N/A,#N/A,FALSE,"Multiples_Sensitivity";#N/A,#N/A,FALSE,"Summary"}</definedName>
    <definedName name="_xlnm.Print_Area" localSheetId="2">'COGS assumption testing'!$B$146:$K$146</definedName>
    <definedName name="_xlnm.Print_Area" localSheetId="1">'Ford Financial Model 2022-2030'!$B$146:$K$146</definedName>
    <definedName name="_xlnm.Print_Titles" localSheetId="2">'COGS assumption testing'!$3:$3</definedName>
    <definedName name="_xlnm.Print_Titles" localSheetId="1">'Ford Financial Model 2022-2030'!$3:$3</definedName>
    <definedName name="resources" hidden="1">{#N/A,#N/A,FALSE,"Assessment";#N/A,#N/A,FALSE,"Staffing";#N/A,#N/A,FALSE,"Hires";#N/A,#N/A,FALSE,"Assumptions"}</definedName>
    <definedName name="Sept" hidden="1">{"assets",#N/A,FALSE,"BSCON894"}</definedName>
    <definedName name="short" hidden="1">'[5]TOP 10 CUST (L)'!#REF!</definedName>
    <definedName name="staffing2" hidden="1">{#N/A,#N/A,FALSE,"Assessment";#N/A,#N/A,FALSE,"Staffing";#N/A,#N/A,FALSE,"Hires";#N/A,#N/A,FALSE,"Assumptions"}</definedName>
    <definedName name="Staffing3" hidden="1">{#N/A,#N/A,FALSE,"Assessment";#N/A,#N/A,FALSE,"Staffing";#N/A,#N/A,FALSE,"Hires";#N/A,#N/A,FALSE,"Assumptions"}</definedName>
    <definedName name="SUMMARY_BOOK" hidden="1">{"page1",#N/A,FALSE,"GIRLBO";"page2",#N/A,FALSE,"GIRLBO";"page3",#N/A,FALSE,"GIRLBO";"page4",#N/A,FALSE,"GIRLBO";"page5",#N/A,FALSE,"GIRLBO"}</definedName>
    <definedName name="Temp_2" hidden="1">{#N/A,#N/A,FALSE,"Assessment";#N/A,#N/A,FALSE,"Staffing";#N/A,#N/A,FALSE,"Hires";#N/A,#N/A,FALSE,"Assumptions"}</definedName>
    <definedName name="Temp_3" hidden="1">{#N/A,#N/A,FALSE,"Assessment";#N/A,#N/A,FALSE,"Staffing";#N/A,#N/A,FALSE,"Hires";#N/A,#N/A,FALSE,"Assumptions"}</definedName>
    <definedName name="TextRefCopyRangeCount" hidden="1">1</definedName>
    <definedName name="two.print" hidden="1">{"month",#N/A,FALSE,"LOPL594";"ytd",#N/A,FALSE,"LOPL594"}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ccr_Dil." hidden="1">{#N/A,#N/A,FALSE,"Debt Accr";#N/A,#N/A,FALSE,"Stock Accr";#N/A,#N/A,FALSE,"Debt Stock Accr"}</definedName>
    <definedName name="wrn.adj95." hidden="1">{"adj95mult",#N/A,FALSE,"COMPCO";"adj95est",#N/A,FALSE,"COMPCO"}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." hidden="1">{"Matrix",#N/A,FALSE,"ACQMTRX";"Fees",#N/A,FALSE,"ACQMTRX"}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PAGES." hidden="1">{#N/A,#N/A,FALSE,"puboff";#N/A,#N/A,FALSE,"financials";#N/A,#N/A,FALSE,"valuation";#N/A,#N/A,FALSE,"split"}</definedName>
    <definedName name="wrn.ALL._.SHEETS.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ssets." hidden="1">{"assets",#N/A,FALSE,"BSCON894"}</definedName>
    <definedName name="wrn.basics." hidden="1">{#N/A,#N/A,FALSE,"TSUM";#N/A,#N/A,FALSE,"shares";#N/A,#N/A,FALSE,"earnout";#N/A,#N/A,FALSE,"Heaty";#N/A,#N/A,FALSE,"self-tend";#N/A,#N/A,FALSE,"self-sum"}</definedName>
    <definedName name="wrn.bod." hidden="1">{#N/A,#N/A,FALSE,"Financial Highlights Annual";#N/A,#N/A,FALSE,"Income Statement Annual";#N/A,#N/A,FALSE,"Income Statement Qtrly";#N/A,#N/A,FALSE,"Balance Sheet Annual";#N/A,#N/A,FALSE,"Cash Flow Annual"}</definedName>
    <definedName name="wrn.bullshit1." hidden="1">{#N/A,#N/A,FALSE,"Sheet1";#N/A,#N/A,FALSE,"Summary";#N/A,#N/A,FALSE,"proj1";#N/A,#N/A,FALSE,"proj2"}</definedName>
    <definedName name="wrn.compco." hidden="1">{"page1",#N/A,FALSE,"BHCOMPC5";"page2",#N/A,FALSE,"BHCOMPC5";"page3",#N/A,FALSE,"BHCOMPC5";"page4",#N/A,FALSE,"BHCOMPC5"}</definedName>
    <definedName name="wrn.DCF." hidden="1">{"DCF1",#N/A,FALSE,"SIERRA DCF";"MATRIX1",#N/A,FALSE,"SIERRA DCF"}</definedName>
    <definedName name="wrn.Economic._.Value._.Added._.Analysis." hidden="1">{"EVA",#N/A,FALSE,"EVA";"WACC",#N/A,FALSE,"WACC"}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HEAT." hidden="1">{#N/A,#N/A,FALSE,"Heat";#N/A,#N/A,FALSE,"DCF";#N/A,#N/A,FALSE,"LBO";#N/A,#N/A,FALSE,"A";#N/A,#N/A,FALSE,"C";#N/A,#N/A,FALSE,"impd";#N/A,#N/A,FALSE,"Accr-Dilu"}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povalue." hidden="1">{#N/A,#N/A,FALSE,"puboff";#N/A,#N/A,FALSE,"valuation";#N/A,#N/A,FALSE,"finanalsis";#N/A,#N/A,FALSE,"split";#N/A,#N/A,FALSE,"ownership"}</definedName>
    <definedName name="wrn.ISCG._.model." hidden="1">{#N/A,#N/A,FALSE,"Second";#N/A,#N/A,FALSE,"ownership";#N/A,#N/A,FALSE,"Valuation";#N/A,#N/A,FALSE,"Eqiv";#N/A,#N/A,FALSE,"Mults";#N/A,#N/A,FALSE,"ISCG Graphics"}</definedName>
    <definedName name="wrn.liab." hidden="1">{#N/A,#N/A,FALSE,"BSCON894"}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erge." hidden="1">{#N/A,#N/A,FALSE,"IPO";#N/A,#N/A,FALSE,"DCF";#N/A,#N/A,FALSE,"LBO";#N/A,#N/A,FALSE,"MULT_VAL";#N/A,#N/A,FALSE,"Status Quo";#N/A,#N/A,FALSE,"Recap"}</definedName>
    <definedName name="wrn.model." hidden="1">{"page1",#N/A,FALSE,"GIRLBO";"page2",#N/A,FALSE,"GIRLBO";"page3",#N/A,FALSE,"GIRLBO";"page4",#N/A,FALSE,"GIRLBO";"page5",#N/A,FALSE,"GIRLBO"}</definedName>
    <definedName name="wrn.newest." hidden="1">{#N/A,#N/A,TRUE,"TS";#N/A,#N/A,TRUE,"Combo";#N/A,#N/A,TRUE,"FAIR";#N/A,#N/A,TRUE,"RBC";#N/A,#N/A,TRUE,"xxxx"}</definedName>
    <definedName name="wrn.OUTPUT." hidden="1">{"DCF","UPSIDE CASE",FALSE,"Sheet1";"DCF","BASE CASE",FALSE,"Sheet1";"DCF","DOWNSIDE CASE",FALSE,"Sheet1"}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rint." hidden="1">{"month",#N/A,FALSE,"LOPL594";"ytd",#N/A,FALSE,"LOPL594"}</definedName>
    <definedName name="wrn.Print._.All." hidden="1">{#N/A,#N/A,FALSE,"Cover_Sht";#N/A,#N/A,FALSE,"FR_Contents";#N/A,#N/A,FALSE,"Con_ytd_p&amp;l";#N/A,#N/A,FALSE,"Jas_ytd_p&amp;l";#N/A,#N/A,FALSE,"Roy_ytd_p&amp;l";#N/A,#N/A,FALSE,"Customer_p&amp;l";#N/A,#N/A,FALSE,"Con_prd_p&amp;l";#N/A,#N/A,FALSE,"Jas_prd_p&amp;l";#N/A,#N/A,FALSE,"Roy_prd_p&amp;l";#N/A,#N/A,FALSE,"Cur_proj";#N/A,#N/A,FALSE,"Bal_Sht";#N/A,#N/A,FALSE,"Cash_Flow";#N/A,#N/A,FALSE,"AR_TB";#N/A,#N/A,FALSE,"Ratios";#N/A,#N/A,FALSE,"Cap_Exp";#N/A,#N/A,FALSE,"Manpwr"}</definedName>
    <definedName name="wrn.Print._.Monthly._.Book." hidden="1">{#N/A,#N/A,FALSE,"Cover_Sht";#N/A,#N/A,FALSE,"FR_Contents";#N/A,#N/A,FALSE,"Con_ytd_p&amp;l";#N/A,#N/A,FALSE,"Jas_ytd_p&amp;l";#N/A,#N/A,FALSE,"Roy_ytd_p&amp;l";#N/A,#N/A,FALSE,"Customer_p&amp;l";#N/A,#N/A,FALSE,"Con_prd_p&amp;l";#N/A,#N/A,FALSE,"Jas_prd_p&amp;l";#N/A,#N/A,FALSE,"Roy_prd_p&amp;l";#N/A,#N/A,FALSE,"Cur_proj";#N/A,#N/A,FALSE,"Bal_Sht";#N/A,#N/A,FALSE,"Cash_Flow";#N/A,#N/A,FALSE,"AR_TB";#N/A,#N/A,FALSE,"Cap_Exp";#N/A,#N/A,FALSE,"Manpwr"}</definedName>
    <definedName name="wrn.Print._.Out._.1." hidden="1">{"Five Year",#N/A,FALSE,"Summary (2)";"Month 1 and Years",#N/A,FALSE,"Cash Budget"}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RELEVANTSHEETS." hidden="1">{#N/A,#N/A,FALSE,"AD_Purch";#N/A,#N/A,FALSE,"Projections";#N/A,#N/A,FALSE,"DCF";#N/A,#N/A,FALSE,"Mkt Val"}</definedName>
    <definedName name="wrn.Staffing." hidden="1">{#N/A,#N/A,FALSE,"Assessment";#N/A,#N/A,FALSE,"Staffing";#N/A,#N/A,FALSE,"Hires";#N/A,#N/A,FALSE,"Assumptions"}</definedName>
    <definedName name="wrn.Staffing1" hidden="1">{#N/A,#N/A,FALSE,"Assessment";#N/A,#N/A,FALSE,"Staffing";#N/A,#N/A,FALSE,"Hires";#N/A,#N/A,FALSE,"Assumptions"}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ransPrcd_123." hidden="1">{#N/A,#N/A,TRUE,"TransPrcd 1";#N/A,#N/A,TRUE,"TransPrcd 2";#N/A,#N/A,TRUE,"TransPrcd 3"}</definedName>
    <definedName name="wrn.VALUATION." hidden="1">{#N/A,#N/A,FALSE,"Pooling";#N/A,#N/A,FALSE,"income";#N/A,#N/A,FALSE,"valuation"}</definedName>
    <definedName name="wrn.wicor." hidden="1">{#N/A,#N/A,FALSE,"FACTSHEETS";#N/A,#N/A,FALSE,"pump";#N/A,#N/A,FALSE,"filter"}</definedName>
  </definedNames>
  <calcPr calcId="191029" iterate="1" iterateCount="50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0" i="1" l="1"/>
  <c r="F151" i="1"/>
  <c r="F152" i="1"/>
  <c r="F153" i="1"/>
  <c r="F149" i="1"/>
  <c r="E153" i="1"/>
  <c r="D153" i="1"/>
  <c r="D152" i="1"/>
  <c r="D151" i="1"/>
  <c r="D150" i="1"/>
  <c r="D149" i="1"/>
  <c r="C153" i="1"/>
  <c r="G143" i="6"/>
  <c r="E134" i="6"/>
  <c r="K133" i="6"/>
  <c r="J133" i="6"/>
  <c r="I133" i="6"/>
  <c r="H133" i="6"/>
  <c r="G133" i="6"/>
  <c r="F133" i="6"/>
  <c r="F132" i="6"/>
  <c r="F134" i="6" s="1"/>
  <c r="G132" i="6" s="1"/>
  <c r="G134" i="6" s="1"/>
  <c r="E127" i="6"/>
  <c r="E120" i="6" s="1"/>
  <c r="F118" i="6" s="1"/>
  <c r="K126" i="6"/>
  <c r="J126" i="6"/>
  <c r="I126" i="6"/>
  <c r="H126" i="6"/>
  <c r="G126" i="6"/>
  <c r="F126" i="6"/>
  <c r="F125" i="6"/>
  <c r="F127" i="6" s="1"/>
  <c r="G125" i="6" s="1"/>
  <c r="G127" i="6" s="1"/>
  <c r="H125" i="6" s="1"/>
  <c r="H127" i="6" s="1"/>
  <c r="I125" i="6" s="1"/>
  <c r="I127" i="6" s="1"/>
  <c r="J125" i="6" s="1"/>
  <c r="J127" i="6" s="1"/>
  <c r="K125" i="6" s="1"/>
  <c r="K127" i="6" s="1"/>
  <c r="K114" i="6"/>
  <c r="J114" i="6"/>
  <c r="I114" i="6"/>
  <c r="H114" i="6"/>
  <c r="G114" i="6"/>
  <c r="F114" i="6"/>
  <c r="C109" i="6"/>
  <c r="C110" i="6" s="1"/>
  <c r="D107" i="6"/>
  <c r="F103" i="6"/>
  <c r="E103" i="6"/>
  <c r="D103" i="6"/>
  <c r="C103" i="6"/>
  <c r="G100" i="6"/>
  <c r="H100" i="6" s="1"/>
  <c r="I100" i="6" s="1"/>
  <c r="J100" i="6" s="1"/>
  <c r="K100" i="6" s="1"/>
  <c r="G99" i="6"/>
  <c r="E97" i="6"/>
  <c r="D97" i="6"/>
  <c r="C97" i="6"/>
  <c r="F94" i="6"/>
  <c r="F97" i="6" s="1"/>
  <c r="F84" i="6"/>
  <c r="F92" i="6" s="1"/>
  <c r="E84" i="6"/>
  <c r="E92" i="6" s="1"/>
  <c r="D84" i="6"/>
  <c r="D92" i="6" s="1"/>
  <c r="C84" i="6"/>
  <c r="C92" i="6" s="1"/>
  <c r="C108" i="6" s="1"/>
  <c r="F76" i="6"/>
  <c r="E76" i="6"/>
  <c r="D76" i="6"/>
  <c r="C76" i="6"/>
  <c r="F73" i="6"/>
  <c r="G73" i="6" s="1"/>
  <c r="H73" i="6" s="1"/>
  <c r="I73" i="6" s="1"/>
  <c r="J73" i="6" s="1"/>
  <c r="K73" i="6" s="1"/>
  <c r="E73" i="6"/>
  <c r="D73" i="6"/>
  <c r="C73" i="6"/>
  <c r="E70" i="6"/>
  <c r="E74" i="6" s="1"/>
  <c r="E77" i="6" s="1"/>
  <c r="E78" i="6" s="1"/>
  <c r="D70" i="6"/>
  <c r="D74" i="6" s="1"/>
  <c r="D77" i="6" s="1"/>
  <c r="C70" i="6"/>
  <c r="C74" i="6" s="1"/>
  <c r="C77" i="6" s="1"/>
  <c r="F68" i="6"/>
  <c r="F63" i="6"/>
  <c r="G63" i="6" s="1"/>
  <c r="H63" i="6" s="1"/>
  <c r="I63" i="6" s="1"/>
  <c r="J63" i="6" s="1"/>
  <c r="K63" i="6" s="1"/>
  <c r="E63" i="6"/>
  <c r="D63" i="6"/>
  <c r="C63" i="6"/>
  <c r="G62" i="6"/>
  <c r="H62" i="6" s="1"/>
  <c r="I62" i="6" s="1"/>
  <c r="J62" i="6" s="1"/>
  <c r="K62" i="6" s="1"/>
  <c r="G61" i="6"/>
  <c r="H61" i="6" s="1"/>
  <c r="I61" i="6" s="1"/>
  <c r="J61" i="6" s="1"/>
  <c r="K61" i="6" s="1"/>
  <c r="F59" i="6"/>
  <c r="F64" i="6" s="1"/>
  <c r="E59" i="6"/>
  <c r="E64" i="6" s="1"/>
  <c r="D59" i="6"/>
  <c r="D64" i="6" s="1"/>
  <c r="D78" i="6" s="1"/>
  <c r="C59" i="6"/>
  <c r="C64" i="6" s="1"/>
  <c r="C78" i="6" s="1"/>
  <c r="F41" i="6"/>
  <c r="F44" i="6" s="1"/>
  <c r="E41" i="6"/>
  <c r="E44" i="6" s="1"/>
  <c r="D41" i="6"/>
  <c r="D44" i="6" s="1"/>
  <c r="C41" i="6"/>
  <c r="C44" i="6" s="1"/>
  <c r="C49" i="6" s="1"/>
  <c r="E36" i="6"/>
  <c r="F36" i="6" s="1"/>
  <c r="G36" i="6" s="1"/>
  <c r="D36" i="6"/>
  <c r="C36" i="6"/>
  <c r="F32" i="6"/>
  <c r="G32" i="6" s="1"/>
  <c r="E32" i="6"/>
  <c r="D32" i="6"/>
  <c r="C32" i="6"/>
  <c r="F31" i="6"/>
  <c r="G31" i="6" s="1"/>
  <c r="E31" i="6"/>
  <c r="D31" i="6"/>
  <c r="C31" i="6"/>
  <c r="F30" i="6"/>
  <c r="G30" i="6" s="1"/>
  <c r="E30" i="6"/>
  <c r="D30" i="6"/>
  <c r="C30" i="6"/>
  <c r="F29" i="6"/>
  <c r="G29" i="6" s="1"/>
  <c r="E29" i="6"/>
  <c r="D29" i="6"/>
  <c r="C29" i="6"/>
  <c r="F28" i="6"/>
  <c r="G28" i="6" s="1"/>
  <c r="E28" i="6"/>
  <c r="D28" i="6"/>
  <c r="C28" i="6"/>
  <c r="I24" i="6"/>
  <c r="J24" i="6" s="1"/>
  <c r="K24" i="6" s="1"/>
  <c r="H24" i="6"/>
  <c r="I23" i="6"/>
  <c r="H23" i="6"/>
  <c r="H143" i="6" s="1"/>
  <c r="F23" i="6"/>
  <c r="F143" i="6" s="1"/>
  <c r="F144" i="6" s="1"/>
  <c r="E23" i="6"/>
  <c r="D23" i="6"/>
  <c r="C23" i="6"/>
  <c r="F22" i="6"/>
  <c r="E22" i="6"/>
  <c r="D22" i="6"/>
  <c r="C22" i="6"/>
  <c r="F21" i="6"/>
  <c r="G21" i="6" s="1"/>
  <c r="E21" i="6"/>
  <c r="D21" i="6"/>
  <c r="C21" i="6"/>
  <c r="F20" i="6"/>
  <c r="G20" i="6" s="1"/>
  <c r="H20" i="6" s="1"/>
  <c r="I20" i="6" s="1"/>
  <c r="J20" i="6" s="1"/>
  <c r="K20" i="6" s="1"/>
  <c r="E20" i="6"/>
  <c r="D20" i="6"/>
  <c r="C20" i="6"/>
  <c r="F19" i="6"/>
  <c r="G19" i="6" s="1"/>
  <c r="E19" i="6"/>
  <c r="D19" i="6"/>
  <c r="C19" i="6"/>
  <c r="H18" i="6"/>
  <c r="I18" i="6" s="1"/>
  <c r="J18" i="6" s="1"/>
  <c r="K18" i="6" s="1"/>
  <c r="F18" i="6"/>
  <c r="E18" i="6"/>
  <c r="D18" i="6"/>
  <c r="C18" i="6"/>
  <c r="G17" i="6"/>
  <c r="F17" i="6"/>
  <c r="E17" i="6"/>
  <c r="D17" i="6"/>
  <c r="J3" i="6"/>
  <c r="K3" i="6" s="1"/>
  <c r="F3" i="6"/>
  <c r="G3" i="6" s="1"/>
  <c r="H3" i="6" s="1"/>
  <c r="G100" i="1"/>
  <c r="H100" i="1" s="1"/>
  <c r="I100" i="1" s="1"/>
  <c r="J100" i="1" s="1"/>
  <c r="K100" i="1" s="1"/>
  <c r="G99" i="1"/>
  <c r="H99" i="1" s="1"/>
  <c r="I99" i="1" s="1"/>
  <c r="J99" i="1" s="1"/>
  <c r="K99" i="1" s="1"/>
  <c r="D41" i="1"/>
  <c r="D44" i="1" s="1"/>
  <c r="D52" i="1" s="1"/>
  <c r="E41" i="1"/>
  <c r="E44" i="1" s="1"/>
  <c r="E52" i="1" s="1"/>
  <c r="F41" i="1"/>
  <c r="C41" i="1"/>
  <c r="F32" i="1"/>
  <c r="F31" i="1"/>
  <c r="F30" i="1"/>
  <c r="F29" i="1"/>
  <c r="F28" i="1"/>
  <c r="C28" i="1"/>
  <c r="F23" i="1"/>
  <c r="F143" i="1" s="1"/>
  <c r="E23" i="1"/>
  <c r="D23" i="1"/>
  <c r="C23" i="1"/>
  <c r="F22" i="1"/>
  <c r="F121" i="1" s="1"/>
  <c r="E22" i="1"/>
  <c r="D22" i="1"/>
  <c r="C22" i="1"/>
  <c r="D21" i="1"/>
  <c r="E21" i="1"/>
  <c r="F21" i="1"/>
  <c r="C21" i="1"/>
  <c r="D20" i="1"/>
  <c r="E20" i="1"/>
  <c r="F20" i="1"/>
  <c r="G20" i="1" s="1"/>
  <c r="C20" i="1"/>
  <c r="F19" i="1"/>
  <c r="F94" i="1"/>
  <c r="F84" i="1"/>
  <c r="C19" i="1"/>
  <c r="F18" i="1"/>
  <c r="H18" i="1"/>
  <c r="I18" i="1" s="1"/>
  <c r="J18" i="1" s="1"/>
  <c r="K18" i="1" s="1"/>
  <c r="C18" i="1"/>
  <c r="F17" i="1"/>
  <c r="G17" i="1"/>
  <c r="G39" i="1" s="1"/>
  <c r="E17" i="1"/>
  <c r="D17" i="1"/>
  <c r="C109" i="1"/>
  <c r="D107" i="1" s="1"/>
  <c r="F76" i="1"/>
  <c r="F73" i="1"/>
  <c r="G73" i="1" s="1"/>
  <c r="C76" i="1"/>
  <c r="D76" i="1"/>
  <c r="E76" i="1"/>
  <c r="E73" i="1"/>
  <c r="F63" i="1"/>
  <c r="E84" i="1"/>
  <c r="E92" i="1" s="1"/>
  <c r="D84" i="1"/>
  <c r="D92" i="1" s="1"/>
  <c r="D105" i="1" s="1"/>
  <c r="C84" i="1"/>
  <c r="C92" i="1" s="1"/>
  <c r="D73" i="1"/>
  <c r="C73" i="1"/>
  <c r="E63" i="1"/>
  <c r="G63" i="1" s="1"/>
  <c r="H63" i="1" s="1"/>
  <c r="I63" i="1" s="1"/>
  <c r="J63" i="1" s="1"/>
  <c r="K63" i="1" s="1"/>
  <c r="D63" i="1"/>
  <c r="C63" i="1"/>
  <c r="C70" i="1"/>
  <c r="C74" i="1" s="1"/>
  <c r="F114" i="1"/>
  <c r="E134" i="1"/>
  <c r="F132" i="1" s="1"/>
  <c r="K133" i="1"/>
  <c r="J133" i="1"/>
  <c r="I133" i="1"/>
  <c r="H133" i="1"/>
  <c r="G133" i="1"/>
  <c r="F133" i="1"/>
  <c r="E127" i="1"/>
  <c r="F125" i="1" s="1"/>
  <c r="K126" i="1"/>
  <c r="J126" i="1"/>
  <c r="I126" i="1"/>
  <c r="H126" i="1"/>
  <c r="G126" i="1"/>
  <c r="F126" i="1"/>
  <c r="K114" i="1"/>
  <c r="J114" i="1"/>
  <c r="I114" i="1"/>
  <c r="H114" i="1"/>
  <c r="G114" i="1"/>
  <c r="E103" i="1"/>
  <c r="D103" i="1"/>
  <c r="C103" i="1"/>
  <c r="E97" i="1"/>
  <c r="D97" i="1"/>
  <c r="C97" i="1"/>
  <c r="E70" i="1"/>
  <c r="D70" i="1"/>
  <c r="F68" i="1"/>
  <c r="G68" i="1" s="1"/>
  <c r="H68" i="1" s="1"/>
  <c r="I68" i="1" s="1"/>
  <c r="J68" i="1" s="1"/>
  <c r="K68" i="1" s="1"/>
  <c r="G62" i="1"/>
  <c r="H62" i="1" s="1"/>
  <c r="I62" i="1" s="1"/>
  <c r="J62" i="1" s="1"/>
  <c r="K62" i="1" s="1"/>
  <c r="G61" i="1"/>
  <c r="H61" i="1" s="1"/>
  <c r="I61" i="1" s="1"/>
  <c r="J61" i="1" s="1"/>
  <c r="K61" i="1" s="1"/>
  <c r="E31" i="1"/>
  <c r="E36" i="1"/>
  <c r="F36" i="1" s="1"/>
  <c r="D36" i="1"/>
  <c r="C36" i="1"/>
  <c r="E32" i="1"/>
  <c r="D32" i="1"/>
  <c r="C32" i="1"/>
  <c r="D31" i="1"/>
  <c r="C31" i="1"/>
  <c r="E30" i="1"/>
  <c r="D30" i="1"/>
  <c r="C30" i="1"/>
  <c r="E29" i="1"/>
  <c r="D29" i="1"/>
  <c r="C29" i="1"/>
  <c r="E28" i="1"/>
  <c r="D28" i="1"/>
  <c r="E19" i="1"/>
  <c r="D19" i="1"/>
  <c r="E18" i="1"/>
  <c r="D18" i="1"/>
  <c r="F3" i="1"/>
  <c r="G3" i="1" s="1"/>
  <c r="H3" i="1" s="1"/>
  <c r="J3" i="1" s="1"/>
  <c r="K3" i="1" s="1"/>
  <c r="H73" i="1" l="1"/>
  <c r="I73" i="1" s="1"/>
  <c r="J73" i="1" s="1"/>
  <c r="K73" i="1" s="1"/>
  <c r="E74" i="1"/>
  <c r="E77" i="1" s="1"/>
  <c r="E78" i="1" s="1"/>
  <c r="D74" i="1"/>
  <c r="D77" i="1" s="1"/>
  <c r="E105" i="1"/>
  <c r="E108" i="1" s="1"/>
  <c r="D108" i="1"/>
  <c r="D109" i="1" s="1"/>
  <c r="D110" i="1" s="1"/>
  <c r="G58" i="1"/>
  <c r="G88" i="1" s="1"/>
  <c r="G40" i="1"/>
  <c r="G42" i="1"/>
  <c r="G72" i="6"/>
  <c r="H132" i="6"/>
  <c r="H134" i="6" s="1"/>
  <c r="F139" i="6"/>
  <c r="H99" i="6"/>
  <c r="F105" i="6"/>
  <c r="F108" i="6"/>
  <c r="F115" i="6"/>
  <c r="F119" i="6" s="1"/>
  <c r="E105" i="6"/>
  <c r="E108" i="6"/>
  <c r="D105" i="6"/>
  <c r="D108" i="6" s="1"/>
  <c r="D109" i="6" s="1"/>
  <c r="F70" i="6"/>
  <c r="F74" i="6" s="1"/>
  <c r="F77" i="6" s="1"/>
  <c r="F78" i="6" s="1"/>
  <c r="G68" i="6"/>
  <c r="H68" i="6" s="1"/>
  <c r="I68" i="6" s="1"/>
  <c r="J68" i="6" s="1"/>
  <c r="K68" i="6" s="1"/>
  <c r="F51" i="6"/>
  <c r="F49" i="6"/>
  <c r="F24" i="6" s="1"/>
  <c r="E51" i="6"/>
  <c r="E49" i="6"/>
  <c r="E24" i="6" s="1"/>
  <c r="D49" i="6"/>
  <c r="D24" i="6" s="1"/>
  <c r="D51" i="6"/>
  <c r="C51" i="6"/>
  <c r="C24" i="6"/>
  <c r="H36" i="6"/>
  <c r="I36" i="6"/>
  <c r="I32" i="6"/>
  <c r="H32" i="6"/>
  <c r="H31" i="6"/>
  <c r="I31" i="6"/>
  <c r="J31" i="6" s="1"/>
  <c r="K31" i="6" s="1"/>
  <c r="H30" i="6"/>
  <c r="I30" i="6"/>
  <c r="I29" i="6"/>
  <c r="J29" i="6" s="1"/>
  <c r="K29" i="6" s="1"/>
  <c r="H29" i="6"/>
  <c r="H28" i="6"/>
  <c r="I28" i="6"/>
  <c r="J28" i="6" s="1"/>
  <c r="K28" i="6" s="1"/>
  <c r="J23" i="6"/>
  <c r="I143" i="6"/>
  <c r="F135" i="6"/>
  <c r="F136" i="6" s="1"/>
  <c r="G22" i="6"/>
  <c r="F128" i="6"/>
  <c r="F129" i="6" s="1"/>
  <c r="F121" i="6"/>
  <c r="H21" i="6"/>
  <c r="H19" i="6"/>
  <c r="G83" i="6"/>
  <c r="G39" i="6"/>
  <c r="H17" i="6"/>
  <c r="I17" i="6" s="1"/>
  <c r="J17" i="6" s="1"/>
  <c r="H20" i="1"/>
  <c r="I20" i="1" s="1"/>
  <c r="J20" i="1" s="1"/>
  <c r="K20" i="1" s="1"/>
  <c r="G31" i="1"/>
  <c r="G28" i="1"/>
  <c r="G56" i="1" s="1"/>
  <c r="G86" i="1" s="1"/>
  <c r="C108" i="1"/>
  <c r="C110" i="1"/>
  <c r="F134" i="1"/>
  <c r="G132" i="1" s="1"/>
  <c r="G134" i="1" s="1"/>
  <c r="G72" i="1" s="1"/>
  <c r="G29" i="1"/>
  <c r="C77" i="1"/>
  <c r="F144" i="1"/>
  <c r="F127" i="1"/>
  <c r="G125" i="1" s="1"/>
  <c r="G127" i="1" s="1"/>
  <c r="H125" i="1" s="1"/>
  <c r="H127" i="1" s="1"/>
  <c r="I125" i="1" s="1"/>
  <c r="I127" i="1" s="1"/>
  <c r="J125" i="1" s="1"/>
  <c r="J127" i="1" s="1"/>
  <c r="K125" i="1" s="1"/>
  <c r="K127" i="1" s="1"/>
  <c r="E120" i="1"/>
  <c r="F118" i="1" s="1"/>
  <c r="I31" i="1"/>
  <c r="J31" i="1" s="1"/>
  <c r="K31" i="1" s="1"/>
  <c r="H31" i="1"/>
  <c r="E59" i="1"/>
  <c r="E64" i="1" s="1"/>
  <c r="D59" i="1"/>
  <c r="D64" i="1" s="1"/>
  <c r="C59" i="1"/>
  <c r="C64" i="1" s="1"/>
  <c r="C78" i="1" s="1"/>
  <c r="E49" i="1"/>
  <c r="E24" i="1" s="1"/>
  <c r="E51" i="1"/>
  <c r="D49" i="1"/>
  <c r="D24" i="1" s="1"/>
  <c r="D51" i="1"/>
  <c r="G36" i="1"/>
  <c r="G94" i="1" s="1"/>
  <c r="G32" i="1"/>
  <c r="G30" i="1"/>
  <c r="I29" i="1"/>
  <c r="J29" i="1" s="1"/>
  <c r="K29" i="1" s="1"/>
  <c r="H29" i="1"/>
  <c r="H28" i="1"/>
  <c r="I28" i="1"/>
  <c r="J28" i="1" s="1"/>
  <c r="K28" i="1" s="1"/>
  <c r="G143" i="1"/>
  <c r="I23" i="1"/>
  <c r="H23" i="1"/>
  <c r="H143" i="1" s="1"/>
  <c r="G22" i="1"/>
  <c r="F128" i="1"/>
  <c r="F129" i="1" s="1"/>
  <c r="F135" i="1"/>
  <c r="F136" i="1" s="1"/>
  <c r="G21" i="1"/>
  <c r="G67" i="1" l="1"/>
  <c r="G89" i="1" s="1"/>
  <c r="G69" i="1"/>
  <c r="G90" i="1" s="1"/>
  <c r="G41" i="1"/>
  <c r="G57" i="1"/>
  <c r="G87" i="1" s="1"/>
  <c r="F139" i="1"/>
  <c r="G97" i="1"/>
  <c r="H72" i="6"/>
  <c r="I132" i="6"/>
  <c r="I134" i="6" s="1"/>
  <c r="I99" i="6"/>
  <c r="E107" i="6"/>
  <c r="E109" i="6" s="1"/>
  <c r="D110" i="6"/>
  <c r="J36" i="6"/>
  <c r="J32" i="6"/>
  <c r="J30" i="6"/>
  <c r="K23" i="6"/>
  <c r="K143" i="6" s="1"/>
  <c r="J143" i="6"/>
  <c r="I22" i="6"/>
  <c r="H22" i="6"/>
  <c r="G121" i="6"/>
  <c r="G128" i="6"/>
  <c r="G129" i="6" s="1"/>
  <c r="G135" i="6"/>
  <c r="G136" i="6" s="1"/>
  <c r="I21" i="6"/>
  <c r="I19" i="6"/>
  <c r="H39" i="6"/>
  <c r="H43" i="6" s="1"/>
  <c r="G40" i="6"/>
  <c r="G41" i="6" s="1"/>
  <c r="G56" i="6"/>
  <c r="G86" i="6" s="1"/>
  <c r="G58" i="6"/>
  <c r="G88" i="6" s="1"/>
  <c r="G42" i="6"/>
  <c r="F120" i="6"/>
  <c r="F140" i="6"/>
  <c r="G94" i="6"/>
  <c r="G43" i="6"/>
  <c r="K17" i="6"/>
  <c r="D78" i="1"/>
  <c r="H17" i="1"/>
  <c r="I17" i="1" s="1"/>
  <c r="J17" i="1" s="1"/>
  <c r="H132" i="1"/>
  <c r="H134" i="1" s="1"/>
  <c r="H72" i="1" s="1"/>
  <c r="E107" i="1"/>
  <c r="E109" i="1" s="1"/>
  <c r="H24" i="1"/>
  <c r="I24" i="1"/>
  <c r="J24" i="1" s="1"/>
  <c r="K24" i="1" s="1"/>
  <c r="H36" i="1"/>
  <c r="I36" i="1"/>
  <c r="H32" i="1"/>
  <c r="I32" i="1"/>
  <c r="I30" i="1"/>
  <c r="H30" i="1"/>
  <c r="J23" i="1"/>
  <c r="I143" i="1"/>
  <c r="H22" i="1"/>
  <c r="I22" i="1"/>
  <c r="G121" i="1"/>
  <c r="G128" i="1"/>
  <c r="G129" i="1" s="1"/>
  <c r="G135" i="1"/>
  <c r="G136" i="1" s="1"/>
  <c r="H21" i="1"/>
  <c r="F97" i="1"/>
  <c r="K17" i="1" l="1"/>
  <c r="I72" i="6"/>
  <c r="J132" i="6"/>
  <c r="J134" i="6" s="1"/>
  <c r="J99" i="6"/>
  <c r="E110" i="6"/>
  <c r="F107" i="6"/>
  <c r="F109" i="6" s="1"/>
  <c r="K36" i="6"/>
  <c r="K32" i="6"/>
  <c r="K30" i="6"/>
  <c r="J22" i="6"/>
  <c r="I121" i="6"/>
  <c r="I128" i="6"/>
  <c r="I129" i="6" s="1"/>
  <c r="I135" i="6"/>
  <c r="I136" i="6" s="1"/>
  <c r="H121" i="6"/>
  <c r="H128" i="6"/>
  <c r="H129" i="6" s="1"/>
  <c r="H135" i="6"/>
  <c r="H136" i="6" s="1"/>
  <c r="J21" i="6"/>
  <c r="J19" i="6"/>
  <c r="H94" i="6"/>
  <c r="I39" i="6"/>
  <c r="I43" i="6" s="1"/>
  <c r="H42" i="6"/>
  <c r="H40" i="6"/>
  <c r="H41" i="6" s="1"/>
  <c r="H44" i="6" s="1"/>
  <c r="H56" i="6"/>
  <c r="H86" i="6" s="1"/>
  <c r="H58" i="6"/>
  <c r="H88" i="6" s="1"/>
  <c r="G67" i="6"/>
  <c r="G89" i="6" s="1"/>
  <c r="G69" i="6"/>
  <c r="G90" i="6" s="1"/>
  <c r="G57" i="6"/>
  <c r="G87" i="6" s="1"/>
  <c r="G118" i="6"/>
  <c r="F141" i="6"/>
  <c r="F122" i="6"/>
  <c r="G97" i="6"/>
  <c r="G60" i="6"/>
  <c r="G44" i="6"/>
  <c r="E110" i="1"/>
  <c r="F107" i="1"/>
  <c r="I132" i="1"/>
  <c r="I134" i="1" s="1"/>
  <c r="J36" i="1"/>
  <c r="J32" i="1"/>
  <c r="J30" i="1"/>
  <c r="K23" i="1"/>
  <c r="K143" i="1" s="1"/>
  <c r="J143" i="1"/>
  <c r="H121" i="1"/>
  <c r="H128" i="1"/>
  <c r="H129" i="1" s="1"/>
  <c r="H135" i="1"/>
  <c r="H136" i="1" s="1"/>
  <c r="J22" i="1"/>
  <c r="I121" i="1"/>
  <c r="I128" i="1"/>
  <c r="I129" i="1" s="1"/>
  <c r="I135" i="1"/>
  <c r="I21" i="1"/>
  <c r="H39" i="1"/>
  <c r="G43" i="1"/>
  <c r="J72" i="6" l="1"/>
  <c r="K132" i="6"/>
  <c r="K134" i="6" s="1"/>
  <c r="K72" i="6" s="1"/>
  <c r="K99" i="6"/>
  <c r="F110" i="6"/>
  <c r="G107" i="6"/>
  <c r="K22" i="6"/>
  <c r="J121" i="6"/>
  <c r="J128" i="6"/>
  <c r="J129" i="6" s="1"/>
  <c r="J135" i="6"/>
  <c r="J136" i="6" s="1"/>
  <c r="K21" i="6"/>
  <c r="K19" i="6"/>
  <c r="H97" i="6"/>
  <c r="I94" i="6"/>
  <c r="J39" i="6"/>
  <c r="J43" i="6" s="1"/>
  <c r="I42" i="6"/>
  <c r="I58" i="6"/>
  <c r="I88" i="6" s="1"/>
  <c r="I40" i="6"/>
  <c r="I41" i="6" s="1"/>
  <c r="I56" i="6"/>
  <c r="I86" i="6" s="1"/>
  <c r="H67" i="6"/>
  <c r="H89" i="6" s="1"/>
  <c r="H69" i="6"/>
  <c r="H90" i="6" s="1"/>
  <c r="H57" i="6"/>
  <c r="H87" i="6" s="1"/>
  <c r="G139" i="6"/>
  <c r="H83" i="6"/>
  <c r="G51" i="6"/>
  <c r="I136" i="1"/>
  <c r="H43" i="1"/>
  <c r="H42" i="1"/>
  <c r="I72" i="1"/>
  <c r="J132" i="1"/>
  <c r="J134" i="1" s="1"/>
  <c r="K36" i="1"/>
  <c r="K32" i="1"/>
  <c r="K30" i="1"/>
  <c r="K22" i="1"/>
  <c r="J121" i="1"/>
  <c r="J128" i="1"/>
  <c r="J129" i="1" s="1"/>
  <c r="J135" i="1"/>
  <c r="J21" i="1"/>
  <c r="H94" i="1"/>
  <c r="I39" i="1"/>
  <c r="H40" i="1"/>
  <c r="H41" i="1" s="1"/>
  <c r="H56" i="1"/>
  <c r="H58" i="1"/>
  <c r="H88" i="1" s="1"/>
  <c r="F59" i="1"/>
  <c r="F64" i="1" s="1"/>
  <c r="H51" i="6" l="1"/>
  <c r="H60" i="6"/>
  <c r="I44" i="6"/>
  <c r="K121" i="6"/>
  <c r="K128" i="6"/>
  <c r="K129" i="6" s="1"/>
  <c r="K135" i="6"/>
  <c r="K136" i="6" s="1"/>
  <c r="I97" i="6"/>
  <c r="J94" i="6"/>
  <c r="K39" i="6"/>
  <c r="J40" i="6"/>
  <c r="J41" i="6" s="1"/>
  <c r="J58" i="6"/>
  <c r="J88" i="6" s="1"/>
  <c r="J42" i="6"/>
  <c r="J56" i="6"/>
  <c r="J86" i="6" s="1"/>
  <c r="I67" i="6"/>
  <c r="I89" i="6" s="1"/>
  <c r="I69" i="6"/>
  <c r="I90" i="6" s="1"/>
  <c r="I57" i="6"/>
  <c r="I87" i="6" s="1"/>
  <c r="I83" i="6"/>
  <c r="I60" i="6"/>
  <c r="J136" i="1"/>
  <c r="I43" i="1"/>
  <c r="I42" i="1"/>
  <c r="J72" i="1"/>
  <c r="K132" i="1"/>
  <c r="K134" i="1" s="1"/>
  <c r="K72" i="1" s="1"/>
  <c r="K121" i="1"/>
  <c r="K128" i="1"/>
  <c r="K129" i="1" s="1"/>
  <c r="K135" i="1"/>
  <c r="K21" i="1"/>
  <c r="H97" i="1"/>
  <c r="I94" i="1"/>
  <c r="J39" i="1"/>
  <c r="I40" i="1"/>
  <c r="I41" i="1" s="1"/>
  <c r="I56" i="1"/>
  <c r="I58" i="1"/>
  <c r="I88" i="1" s="1"/>
  <c r="H67" i="1"/>
  <c r="H89" i="1" s="1"/>
  <c r="H69" i="1"/>
  <c r="H90" i="1" s="1"/>
  <c r="H57" i="1"/>
  <c r="H86" i="1"/>
  <c r="K136" i="1" l="1"/>
  <c r="I51" i="6"/>
  <c r="J44" i="6"/>
  <c r="J97" i="6"/>
  <c r="K43" i="6"/>
  <c r="K94" i="6"/>
  <c r="K58" i="6"/>
  <c r="K88" i="6" s="1"/>
  <c r="K42" i="6"/>
  <c r="K40" i="6"/>
  <c r="K41" i="6" s="1"/>
  <c r="K56" i="6"/>
  <c r="K86" i="6" s="1"/>
  <c r="J67" i="6"/>
  <c r="J89" i="6" s="1"/>
  <c r="J69" i="6"/>
  <c r="J90" i="6" s="1"/>
  <c r="J57" i="6"/>
  <c r="J87" i="6" s="1"/>
  <c r="J83" i="6"/>
  <c r="J51" i="6" s="1"/>
  <c r="J60" i="6"/>
  <c r="H87" i="1"/>
  <c r="J43" i="1"/>
  <c r="J42" i="1"/>
  <c r="I97" i="1"/>
  <c r="J94" i="1"/>
  <c r="K39" i="1"/>
  <c r="J40" i="1"/>
  <c r="J41" i="1" s="1"/>
  <c r="J56" i="1"/>
  <c r="J58" i="1"/>
  <c r="J88" i="1" s="1"/>
  <c r="I67" i="1"/>
  <c r="I89" i="1" s="1"/>
  <c r="I69" i="1"/>
  <c r="I90" i="1" s="1"/>
  <c r="I57" i="1"/>
  <c r="I86" i="1"/>
  <c r="K44" i="6" l="1"/>
  <c r="K97" i="6"/>
  <c r="K67" i="6"/>
  <c r="K89" i="6" s="1"/>
  <c r="K69" i="6"/>
  <c r="K90" i="6" s="1"/>
  <c r="K57" i="6"/>
  <c r="K87" i="6" s="1"/>
  <c r="K83" i="6"/>
  <c r="K60" i="6"/>
  <c r="K43" i="1"/>
  <c r="K42" i="1"/>
  <c r="I87" i="1"/>
  <c r="J97" i="1"/>
  <c r="K94" i="1"/>
  <c r="K40" i="1"/>
  <c r="K41" i="1" s="1"/>
  <c r="K56" i="1"/>
  <c r="K58" i="1"/>
  <c r="K88" i="1" s="1"/>
  <c r="J67" i="1"/>
  <c r="J89" i="1" s="1"/>
  <c r="J69" i="1"/>
  <c r="J90" i="1" s="1"/>
  <c r="J57" i="1"/>
  <c r="J86" i="1"/>
  <c r="K51" i="6" l="1"/>
  <c r="K97" i="1"/>
  <c r="K67" i="1"/>
  <c r="K89" i="1" s="1"/>
  <c r="K69" i="1"/>
  <c r="K90" i="1" s="1"/>
  <c r="K57" i="1"/>
  <c r="K86" i="1"/>
  <c r="J87" i="1"/>
  <c r="K87" i="1" l="1"/>
  <c r="C44" i="1" l="1"/>
  <c r="C51" i="1" l="1"/>
  <c r="C52" i="1"/>
  <c r="C49" i="1"/>
  <c r="C24" i="1" s="1"/>
  <c r="F70" i="1" l="1"/>
  <c r="F74" i="1" s="1"/>
  <c r="F77" i="1" s="1"/>
  <c r="F78" i="1" s="1"/>
  <c r="F103" i="1"/>
  <c r="G19" i="1" l="1"/>
  <c r="F44" i="1"/>
  <c r="F52" i="1" s="1"/>
  <c r="F92" i="1"/>
  <c r="G83" i="1" l="1"/>
  <c r="G60" i="1" s="1"/>
  <c r="H19" i="1"/>
  <c r="I19" i="1" s="1"/>
  <c r="J19" i="1" s="1"/>
  <c r="K19" i="1" s="1"/>
  <c r="F105" i="1"/>
  <c r="F108" i="1"/>
  <c r="F109" i="1" s="1"/>
  <c r="F110" i="1" s="1"/>
  <c r="F115" i="1"/>
  <c r="F119" i="1" s="1"/>
  <c r="F49" i="1"/>
  <c r="F24" i="1" s="1"/>
  <c r="F51" i="1"/>
  <c r="G44" i="1"/>
  <c r="G51" i="1" l="1"/>
  <c r="H83" i="1"/>
  <c r="F140" i="1"/>
  <c r="F120" i="1"/>
  <c r="F122" i="1" s="1"/>
  <c r="G107" i="1"/>
  <c r="F141" i="1" l="1"/>
  <c r="G118" i="1"/>
  <c r="H44" i="1"/>
  <c r="H51" i="1" s="1"/>
  <c r="H60" i="1"/>
  <c r="G139" i="1" l="1"/>
  <c r="I83" i="1"/>
  <c r="I44" i="1" l="1"/>
  <c r="I60" i="1"/>
  <c r="I51" i="1" l="1"/>
  <c r="J83" i="1"/>
  <c r="J44" i="1" l="1"/>
  <c r="J60" i="1"/>
  <c r="J51" i="1" l="1"/>
  <c r="K83" i="1"/>
  <c r="K60" i="1" s="1"/>
  <c r="K44" i="1" l="1"/>
  <c r="K51" i="1" l="1"/>
  <c r="G45" i="6" l="1"/>
  <c r="H45" i="6"/>
  <c r="I45" i="6"/>
  <c r="J45" i="6"/>
  <c r="K45" i="6"/>
  <c r="G46" i="6"/>
  <c r="H46" i="6"/>
  <c r="I46" i="6"/>
  <c r="J46" i="6"/>
  <c r="K46" i="6"/>
  <c r="G48" i="6"/>
  <c r="H48" i="6"/>
  <c r="I48" i="6"/>
  <c r="J48" i="6"/>
  <c r="K48" i="6"/>
  <c r="G49" i="6"/>
  <c r="H49" i="6"/>
  <c r="I49" i="6"/>
  <c r="J49" i="6"/>
  <c r="K49" i="6"/>
  <c r="G55" i="6"/>
  <c r="H55" i="6"/>
  <c r="I55" i="6"/>
  <c r="J55" i="6"/>
  <c r="K55" i="6"/>
  <c r="G59" i="6"/>
  <c r="H59" i="6"/>
  <c r="I59" i="6"/>
  <c r="J59" i="6"/>
  <c r="K59" i="6"/>
  <c r="G64" i="6"/>
  <c r="H64" i="6"/>
  <c r="I64" i="6"/>
  <c r="J64" i="6"/>
  <c r="K64" i="6"/>
  <c r="G66" i="6"/>
  <c r="H66" i="6"/>
  <c r="I66" i="6"/>
  <c r="J66" i="6"/>
  <c r="K66" i="6"/>
  <c r="G70" i="6"/>
  <c r="H70" i="6"/>
  <c r="I70" i="6"/>
  <c r="J70" i="6"/>
  <c r="K70" i="6"/>
  <c r="G74" i="6"/>
  <c r="H74" i="6"/>
  <c r="I74" i="6"/>
  <c r="J74" i="6"/>
  <c r="K74" i="6"/>
  <c r="G76" i="6"/>
  <c r="H76" i="6"/>
  <c r="I76" i="6"/>
  <c r="J76" i="6"/>
  <c r="K76" i="6"/>
  <c r="G77" i="6"/>
  <c r="H77" i="6"/>
  <c r="I77" i="6"/>
  <c r="J77" i="6"/>
  <c r="K77" i="6"/>
  <c r="G78" i="6"/>
  <c r="H78" i="6"/>
  <c r="I78" i="6"/>
  <c r="J78" i="6"/>
  <c r="K78" i="6"/>
  <c r="G82" i="6"/>
  <c r="H82" i="6"/>
  <c r="I82" i="6"/>
  <c r="J82" i="6"/>
  <c r="K82" i="6"/>
  <c r="G92" i="6"/>
  <c r="H92" i="6"/>
  <c r="I92" i="6"/>
  <c r="J92" i="6"/>
  <c r="K92" i="6"/>
  <c r="G101" i="6"/>
  <c r="H101" i="6"/>
  <c r="I101" i="6"/>
  <c r="J101" i="6"/>
  <c r="K101" i="6"/>
  <c r="G103" i="6"/>
  <c r="H103" i="6"/>
  <c r="I103" i="6"/>
  <c r="J103" i="6"/>
  <c r="K103" i="6"/>
  <c r="H107" i="6"/>
  <c r="I107" i="6"/>
  <c r="J107" i="6"/>
  <c r="K107" i="6"/>
  <c r="G108" i="6"/>
  <c r="H108" i="6"/>
  <c r="I108" i="6"/>
  <c r="J108" i="6"/>
  <c r="K108" i="6"/>
  <c r="G109" i="6"/>
  <c r="H109" i="6"/>
  <c r="I109" i="6"/>
  <c r="J109" i="6"/>
  <c r="K109" i="6"/>
  <c r="G110" i="6"/>
  <c r="H110" i="6"/>
  <c r="I110" i="6"/>
  <c r="J110" i="6"/>
  <c r="K110" i="6"/>
  <c r="G115" i="6"/>
  <c r="H115" i="6"/>
  <c r="I115" i="6"/>
  <c r="J115" i="6"/>
  <c r="K115" i="6"/>
  <c r="H118" i="6"/>
  <c r="I118" i="6"/>
  <c r="J118" i="6"/>
  <c r="K118" i="6"/>
  <c r="G119" i="6"/>
  <c r="H119" i="6"/>
  <c r="I119" i="6"/>
  <c r="J119" i="6"/>
  <c r="K119" i="6"/>
  <c r="G120" i="6"/>
  <c r="H120" i="6"/>
  <c r="I120" i="6"/>
  <c r="J120" i="6"/>
  <c r="K120" i="6"/>
  <c r="G122" i="6"/>
  <c r="H122" i="6"/>
  <c r="I122" i="6"/>
  <c r="J122" i="6"/>
  <c r="K122" i="6"/>
  <c r="H139" i="6"/>
  <c r="I139" i="6"/>
  <c r="J139" i="6"/>
  <c r="K139" i="6"/>
  <c r="G140" i="6"/>
  <c r="H140" i="6"/>
  <c r="I140" i="6"/>
  <c r="J140" i="6"/>
  <c r="K140" i="6"/>
  <c r="G141" i="6"/>
  <c r="H141" i="6"/>
  <c r="I141" i="6"/>
  <c r="J141" i="6"/>
  <c r="K141" i="6"/>
  <c r="G144" i="6"/>
  <c r="H144" i="6"/>
  <c r="I144" i="6"/>
  <c r="J144" i="6"/>
  <c r="K144" i="6"/>
  <c r="G45" i="1"/>
  <c r="H45" i="1"/>
  <c r="I45" i="1"/>
  <c r="J45" i="1"/>
  <c r="K45" i="1"/>
  <c r="G46" i="1"/>
  <c r="H46" i="1"/>
  <c r="I46" i="1"/>
  <c r="J46" i="1"/>
  <c r="K46" i="1"/>
  <c r="G48" i="1"/>
  <c r="H48" i="1"/>
  <c r="I48" i="1"/>
  <c r="J48" i="1"/>
  <c r="K48" i="1"/>
  <c r="G49" i="1"/>
  <c r="H49" i="1"/>
  <c r="I49" i="1"/>
  <c r="J49" i="1"/>
  <c r="K49" i="1"/>
  <c r="G55" i="1"/>
  <c r="H55" i="1"/>
  <c r="I55" i="1"/>
  <c r="J55" i="1"/>
  <c r="K55" i="1"/>
  <c r="G59" i="1"/>
  <c r="H59" i="1"/>
  <c r="I59" i="1"/>
  <c r="J59" i="1"/>
  <c r="K59" i="1"/>
  <c r="G64" i="1"/>
  <c r="H64" i="1"/>
  <c r="I64" i="1"/>
  <c r="J64" i="1"/>
  <c r="K64" i="1"/>
  <c r="G66" i="1"/>
  <c r="H66" i="1"/>
  <c r="I66" i="1"/>
  <c r="J66" i="1"/>
  <c r="K66" i="1"/>
  <c r="G70" i="1"/>
  <c r="H70" i="1"/>
  <c r="I70" i="1"/>
  <c r="J70" i="1"/>
  <c r="K70" i="1"/>
  <c r="G74" i="1"/>
  <c r="H74" i="1"/>
  <c r="I74" i="1"/>
  <c r="J74" i="1"/>
  <c r="K74" i="1"/>
  <c r="G76" i="1"/>
  <c r="H76" i="1"/>
  <c r="I76" i="1"/>
  <c r="J76" i="1"/>
  <c r="K76" i="1"/>
  <c r="G77" i="1"/>
  <c r="H77" i="1"/>
  <c r="I77" i="1"/>
  <c r="J77" i="1"/>
  <c r="K77" i="1"/>
  <c r="G78" i="1"/>
  <c r="H78" i="1"/>
  <c r="I78" i="1"/>
  <c r="J78" i="1"/>
  <c r="K78" i="1"/>
  <c r="G82" i="1"/>
  <c r="H82" i="1"/>
  <c r="I82" i="1"/>
  <c r="J82" i="1"/>
  <c r="K82" i="1"/>
  <c r="G92" i="1"/>
  <c r="H92" i="1"/>
  <c r="I92" i="1"/>
  <c r="J92" i="1"/>
  <c r="K92" i="1"/>
  <c r="G101" i="1"/>
  <c r="H101" i="1"/>
  <c r="I101" i="1"/>
  <c r="J101" i="1"/>
  <c r="K101" i="1"/>
  <c r="G103" i="1"/>
  <c r="H103" i="1"/>
  <c r="I103" i="1"/>
  <c r="J103" i="1"/>
  <c r="K103" i="1"/>
  <c r="H107" i="1"/>
  <c r="I107" i="1"/>
  <c r="J107" i="1"/>
  <c r="K107" i="1"/>
  <c r="G108" i="1"/>
  <c r="H108" i="1"/>
  <c r="I108" i="1"/>
  <c r="J108" i="1"/>
  <c r="K108" i="1"/>
  <c r="G109" i="1"/>
  <c r="H109" i="1"/>
  <c r="I109" i="1"/>
  <c r="J109" i="1"/>
  <c r="K109" i="1"/>
  <c r="G110" i="1"/>
  <c r="H110" i="1"/>
  <c r="I110" i="1"/>
  <c r="J110" i="1"/>
  <c r="K110" i="1"/>
  <c r="G115" i="1"/>
  <c r="H115" i="1"/>
  <c r="I115" i="1"/>
  <c r="J115" i="1"/>
  <c r="K115" i="1"/>
  <c r="H118" i="1"/>
  <c r="I118" i="1"/>
  <c r="J118" i="1"/>
  <c r="K118" i="1"/>
  <c r="G119" i="1"/>
  <c r="H119" i="1"/>
  <c r="I119" i="1"/>
  <c r="J119" i="1"/>
  <c r="K119" i="1"/>
  <c r="G120" i="1"/>
  <c r="H120" i="1"/>
  <c r="I120" i="1"/>
  <c r="J120" i="1"/>
  <c r="K120" i="1"/>
  <c r="G122" i="1"/>
  <c r="H122" i="1"/>
  <c r="I122" i="1"/>
  <c r="J122" i="1"/>
  <c r="K122" i="1"/>
  <c r="H139" i="1"/>
  <c r="I139" i="1"/>
  <c r="J139" i="1"/>
  <c r="K139" i="1"/>
  <c r="G140" i="1"/>
  <c r="H140" i="1"/>
  <c r="I140" i="1"/>
  <c r="J140" i="1"/>
  <c r="K140" i="1"/>
  <c r="G141" i="1"/>
  <c r="H141" i="1"/>
  <c r="I141" i="1"/>
  <c r="J141" i="1"/>
  <c r="K141" i="1"/>
  <c r="G144" i="1"/>
  <c r="H144" i="1"/>
  <c r="I144" i="1"/>
  <c r="J144" i="1"/>
  <c r="K14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Art Baker</author>
  </authors>
  <commentList>
    <comment ref="A1" authorId="0" shapeId="0" xr:uid="{C38509A0-36C8-4E4C-8EBC-E7CF09B578A0}">
      <text>
        <r>
          <rPr>
            <b/>
            <sz val="9"/>
            <color indexed="81"/>
            <rFont val="Tahoma"/>
            <family val="2"/>
          </rPr>
          <t>&lt;?xml version="1.0" encoding="utf-8"?&gt;&lt;Schema xmlns:xsd="http://www.w3.org/2001/XMLSchema" xmlns:xsi="http://www.w3.org/2001/XMLSchema-instance" Version="2" Timestamp="1775765181"&gt;&lt;FQL&gt;&lt;Q&gt;VNT-US^FE_ESTIMATE(EBITDA,MEAN,ANN_ROLL,+6,NOW,,,'')&lt;/Q&gt;&lt;R&gt;1&lt;/R&gt;&lt;C&gt;1&lt;/C&gt;&lt;D xsi:type="xsd:double"&gt;1102&lt;/D&gt;&lt;/FQL&gt;&lt;FQL&gt;&lt;Q&gt;VNT-US^FE_ESTIMATE(EBITDA,MEAN,ANN_ROLL,+5,NOW,,,'')&lt;/Q&gt;&lt;R&gt;1&lt;/R&gt;&lt;C&gt;1&lt;/C&gt;&lt;D xsi:type="xsd:double"&gt;1036&lt;/D&gt;&lt;/FQL&gt;&lt;FQL&gt;&lt;Q&gt;VNT-US^FE_ESTIMATE(EBITDA,MEAN,ANN_ROLL,+4,NOW,,,'')&lt;/Q&gt;&lt;R&gt;1&lt;/R&gt;&lt;C&gt;1&lt;/C&gt;&lt;D xsi:type="xsd:double"&gt;844&lt;/D&gt;&lt;/FQL&gt;&lt;FQL&gt;&lt;Q&gt;VNT-US^FE_ESTIMATE(EBITDA,MEAN,ANN_ROLL,+3,NOW,,,'')&lt;/Q&gt;&lt;R&gt;1&lt;/R&gt;&lt;C&gt;1&lt;/C&gt;&lt;D xsi:type="xsd:double"&gt;800.04004&lt;/D&gt;&lt;/FQL&gt;&lt;FQL&gt;&lt;Q&gt;VNT-US^FE_ESTIMATE(EBITDA,MEAN,ANN_ROLL,+2,NOW,,,'')&lt;/Q&gt;&lt;R&gt;1&lt;/R&gt;&lt;C&gt;1&lt;/C&gt;&lt;D xsi:type="xsd:double"&gt;746.99927&lt;/D&gt;&lt;/FQL&gt;&lt;FQL&gt;&lt;Q&gt;VNT-US^FE_ESTIMATE(EBITDA,MEAN,ANN_ROLL,+1,NOW,,,'')&lt;/Q&gt;&lt;R&gt;1&lt;/R&gt;&lt;C&gt;1&lt;/C&gt;&lt;D xsi:type="xsd:double"&gt;712.3149&lt;/D&gt;&lt;/FQL&gt;&lt;FQL&gt;&lt;Q&gt;VNT-US^FE_ESTIMATE(COS,MEAN,ANN_ROLL,+6,NOW,,,'')&lt;/Q&gt;&lt;R&gt;0&lt;/R&gt;&lt;C&gt;0&lt;/C&gt;&lt;/FQL&gt;&lt;FQL&gt;&lt;Q&gt;VNT-US^FE_ESTIMATE(COS,MEAN,ANN_ROLL,+5,NOW,,,'')&lt;/Q&gt;&lt;R&gt;0&lt;/R&gt;&lt;C&gt;0&lt;/C&gt;&lt;/FQL&gt;&lt;FQL&gt;&lt;Q&gt;VNT-US^FE_ESTIMATE(COS,MEAN,ANN_ROLL,+4,NOW,,,'')&lt;/Q&gt;&lt;R&gt;1&lt;/R&gt;&lt;C&gt;1&lt;/C&gt;&lt;D xsi:type="xsd:double"&gt;1703&lt;/D&gt;&lt;/FQL&gt;&lt;FQL&gt;&lt;Q&gt;VNT-US^FE_ESTIMATE(COS,MEAN,ANN_ROLL,+3,NOW,,,'')&lt;/Q&gt;&lt;R&gt;1&lt;/R&gt;&lt;C&gt;1&lt;/C&gt;&lt;D xsi:type="xsd:double"&gt;1647&lt;/D&gt;&lt;/FQL&gt;&lt;FQL&gt;&lt;Q&gt;VNT-US^FE_ESTIMATE(COS,MEAN,ANN_ROLL,+2,NOW,,,'')&lt;/Q&gt;&lt;R&gt;1&lt;/R&gt;&lt;C&gt;1&lt;/C&gt;&lt;D xsi:type="xsd:double"&gt;1597.05&lt;/D&gt;&lt;/FQL&gt;&lt;FQL&gt;&lt;Q&gt;VNT-US^FE_ESTIMATE(COS,MEAN,ANN_ROLL,+1,NOW,,,'')&lt;/Q&gt;&lt;R&gt;1&lt;/R&gt;&lt;C&gt;1&lt;/C&gt;&lt;D xsi:type="xsd:double"&gt;1593&lt;/D&gt;&lt;/FQL&gt;&lt;FQL&gt;&lt;Q&gt;VNT-US^FE_ESTIMATE(SALES,MEAN,ANN_ROLL,+6,NOW,,,'')&lt;/Q&gt;&lt;R&gt;1&lt;/R&gt;&lt;C&gt;1&lt;/C&gt;&lt;D xsi:type="xsd:double"&gt;3704&lt;/D&gt;&lt;/FQL&gt;&lt;FQL&gt;&lt;Q&gt;VNT-US^FE_ESTIMATE(SALES,MEAN,ANN_ROLL,+5,NOW,,,'')&lt;/Q&gt;&lt;R&gt;1&lt;/R&gt;&lt;C&gt;1&lt;/C&gt;&lt;D xsi:type="xsd:double"&gt;3549&lt;/D&gt;&lt;/FQL&gt;&lt;FQL&gt;&lt;Q&gt;VNT-US^FE_ESTIMATE(SALES,MEAN,ANN_ROLL,+4,NOW,,,'')&lt;/Q&gt;&lt;R&gt;1&lt;/R&gt;&lt;C&gt;1&lt;/C&gt;&lt;D xsi:type="xsd:double"&gt;3398&lt;/D&gt;&lt;/FQL&gt;&lt;FQL&gt;&lt;Q&gt;VNT-US^FE_ESTIMATE(SALES,MEAN,ANN_ROLL,+3,NOW,,,'')&lt;/Q&gt;&lt;R&gt;1&lt;/R&gt;&lt;C&gt;1&lt;/C&gt;&lt;D xsi:type="xsd:double"&gt;3261.464&lt;/D&gt;&lt;/FQL&gt;&lt;FQL&gt;&lt;Q&gt;VNT-US^FE_ESTIMATE(SALES,MEAN,ANN_ROLL,+2,NOW,,,'')&lt;/Q&gt;&lt;R&gt;1&lt;/R&gt;&lt;C&gt;1&lt;/C&gt;&lt;D xsi:type="xsd:double"&gt;3111.09&lt;/D&gt;&lt;/FQL&gt;&lt;FQL&gt;&lt;Q&gt;VNT-US^FE_ESTIMATE(SALES,MEAN,ANN_ROLL,+1,NOW,,,'')&lt;/Q&gt;&lt;R&gt;1&lt;/R&gt;&lt;C&gt;1&lt;/C&gt;&lt;D xsi:type="xsd:double"&gt;3031.879&lt;/D&gt;&lt;/FQL&gt;&lt;FQL&gt;&lt;Q&gt;VNT-US^FF_FIN_ACTIV_OTH_CF('ANN_R','-2','0','YEARLY',RP,'LOCAL','M')@0&lt;/Q&gt;&lt;R&gt;3&lt;/R&gt;&lt;C&gt;1&lt;/C&gt;&lt;D xsi:type="xsd:double"&gt;-6.1&lt;/D&gt;&lt;D xsi:type="xsd:double"&gt;-9.9&lt;/D&gt;&lt;D xsi:type="xsd:double"&gt;-14.9&lt;/D&gt;&lt;/FQL&gt;&lt;FQL&gt;&lt;Q&gt;VNT-US^FF_DEBT_CF('ANN_R','-2','0','YEARLY',RP,'LOCAL','M')@0&lt;/Q&gt;&lt;R&gt;3&lt;/R&gt;&lt;C&gt;1&lt;/C&gt;&lt;D xsi:type="xsd:double"&gt;-0.399999999999955&lt;/D&gt;&lt;D xsi:type="xsd:double"&gt;-298.1&lt;/D&gt;&lt;D xsi:type="xsd:double"&gt;-154.5&lt;/D&gt;&lt;/FQL&gt;&lt;FQL&gt;&lt;Q&gt;VNT-US^FF_STK_CHG_CF('ANN_R','-2','0','YEARLY',RP,'LOCAL','M')@0&lt;/Q&gt;&lt;R&gt;3&lt;/R&gt;&lt;C&gt;1&lt;/C&gt;&lt;D xsi:type="xsd:double"&gt;-325.5&lt;/D&gt;&lt;D xsi:type="xsd:double"&gt;-64.3&lt;/D&gt;&lt;D xsi:type="xsd:double"&gt;-207.7&lt;/D&gt;&lt;/FQL&gt;&lt;FQL&gt;&lt;Q&gt;VNT-US^-FF_DIV_CF('ANN_R','-2','0','YEARLY',RP,'LOCAL','M')@0&lt;/Q&gt;&lt;R&gt;3&lt;/R&gt;&lt;C&gt;1&lt;/C&gt;&lt;D xsi:type="xsd:double"&gt;-15.9&lt;/D&gt;&lt;D xsi:type="xsd:double"&gt;-15.5&lt;/D&gt;&lt;D xsi:type="xsd:double"&gt;-15.2&lt;/D&gt;&lt;/FQL&gt;&lt;FQL&gt;&lt;Q&gt;VNT-US^FF_SALE_ASSETS_BUS_CF('ANN_R','-2','0','YEARLY',RP,'LOCAL','M')@0&lt;/Q&gt;&lt;R&gt;3&lt;/R&gt;&lt;C&gt;1&lt;/C&gt;&lt;D xsi:type="xsd:double"&gt;0.4&lt;/D&gt;&lt;D xsi:type="xsd:double"&gt;112&lt;/D&gt;&lt;D xsi:type="xsd:double"&gt;74&lt;/D&gt;&lt;/FQL&gt;&lt;FQL&gt;&lt;Q&gt;VNT-US^-FF_ACQ_BUS_CF('ANN_R','-2','0','YEARLY',RP,'LOCAL','M')@0&lt;/Q&gt;&lt;R&gt;3&lt;/R&gt;&lt;C&gt;1&lt;/C&gt;&lt;D xsi:type="xsd:double"&gt;-277.5&lt;/D&gt;&lt;D xsi:type="xsd:double"&gt;0&lt;/D&gt;&lt;D xsi:type="xsd:double"&gt;0&lt;/D&gt;&lt;/FQL&gt;&lt;FQL&gt;&lt;Q&gt;VNT-US^-1.000000 * FF_CAPEX('ANN_R','-2','0','YEARLY',RP,'LOCAL','M')@0&lt;/Q&gt;&lt;R&gt;3&lt;/R&gt;&lt;C&gt;1&lt;/C&gt;&lt;D xsi:type="xsd:double"&gt;-60&lt;/D&gt;&lt;D xsi:type="xsd:double"&gt;-60.1&lt;/D&gt;&lt;D xsi:type="xsd:double"&gt;-82.7&lt;/D&gt;&lt;/FQL&gt;&lt;FQL&gt;&lt;Q&gt;VNT-US^FF_WKCAP_CHG('ANN_R','-2','0','YEARLY',RP,'LOCAL','M')@0&lt;/Q&gt;&lt;R&gt;3&lt;/R&gt;&lt;C&gt;1&lt;/C&gt;&lt;D xsi:type="xsd:double"&gt;-211.2&lt;/D&gt;&lt;D xsi:type="xsd:double"&gt;-47.4&lt;/D&gt;&lt;D xsi:type="xsd:double"&gt;-119.5&lt;/D&gt;&lt;/FQL&gt;&lt;FQL&gt;&lt;Q&gt;VNT-US^FF_NON_CASH('ANN_R','-2','0','YEARLY',RP,'LOCAL','M')@0&lt;/Q&gt;&lt;R&gt;3&lt;/R&gt;&lt;C&gt;1&lt;/C&gt;&lt;D xsi:type="xsd:double"&gt;29.4&lt;/D&gt;&lt;D xsi:type="xsd:double"&gt;0.5&lt;/D&gt;&lt;D xsi:type="xsd:double"&gt;-2.3&lt;/D&gt;&lt;/FQL&gt;&lt;FQL&gt;&lt;Q&gt;VNT-US^FF_DEP_EXP_CF('ANN_R','-2','0','YEARLY',RP,'LOCAL','M')@0&lt;/Q&gt;&lt;R&gt;3&lt;/R&gt;&lt;C&gt;1&lt;/C&gt;&lt;D xsi:type="xsd:double"&gt;101.7&lt;/D&gt;&lt;D xsi:type="xsd:double"&gt;125&lt;/D&gt;&lt;D xsi:type="xsd:double"&gt;127.1&lt;/D&gt;&lt;/FQL&gt;&lt;FQL&gt;&lt;Q&gt;VNT-US^FF_NET_INC_CF('ANN_R','-2','0','YEARLY',RP,'LOCAL','M')@0&lt;/Q&gt;&lt;R&gt;3&lt;/R&gt;&lt;C&gt;1&lt;/C&gt;&lt;D xsi:type="xsd:double"&gt;401.3&lt;/D&gt;&lt;D xsi:type="xsd:double"&gt;376.9&lt;/D&gt;&lt;D xsi:type="xsd:double"&gt;422.2&lt;/D&gt;&lt;/FQL&gt;&lt;FQL&gt;&lt;Q&gt;VNT-US^FF_EQ_TOT('ANN_R','-2','0','YEARLY',RP,'LOCAL','M')@0&lt;/Q&gt;&lt;R&gt;3&lt;/R&gt;&lt;C&gt;1&lt;/C&gt;&lt;D xsi:type="xsd:double"&gt;579.5&lt;/D&gt;&lt;D xsi:type="xsd:double"&gt;895.6&lt;/D&gt;&lt;D xsi:type="xsd:double"&gt;1059.9&lt;/D&gt;&lt;/FQL&gt;&lt;FQL&gt;&lt;Q&gt;VNT-US^FF_LIABS_OTH('ANN_R','-2','0','YEARLY',RP,'LOCAL','M')@0&lt;/Q&gt;&lt;R&gt;3&lt;/R&gt;&lt;C&gt;1&lt;/C&gt;&lt;D xsi:type="xsd:double"&gt;109.3&lt;/D&gt;&lt;D xsi:type="xsd:double"&gt;114.9&lt;/D&gt;&lt;D xsi:type="xsd:double"&gt;105.8&lt;/D&gt;&lt;/FQL&gt;&lt;FQL&gt;&lt;Q&gt;VNT-US^FF_PROV_RISK('ANN_R','-2','0','YEARLY',RP,'LOCAL','M')@0&lt;/Q&gt;&lt;R&gt;3&lt;/R&gt;&lt;C&gt;1&lt;/C&gt;&lt;D xsi:type="xsd:double"&gt;104.9&lt;/D&gt;&lt;D xsi:type="xsd:double"&gt;102.1&lt;/D&gt;&lt;D xsi:type="xsd:double"&gt;107&lt;/D&gt;&lt;/FQL&gt;&lt;FQL&gt;&lt;Q&gt;VNT-US^FF_DEBT_LT('ANN_R','-2','0','YEARLY',RP,'LOCAL','M')@0&lt;/Q&gt;&lt;R&gt;3&lt;/R&gt;&lt;C&gt;1&lt;/C&gt;&lt;D xsi:type="xsd:double"&gt;2619.7&lt;/D&gt;&lt;D xsi:type="xsd:double"&gt;2226.1&lt;/D&gt;&lt;D xsi:type="xsd:double"&gt;2128.6&lt;/D&gt;&lt;/FQL&gt;&lt;FQL&gt;&lt;Q&gt;VNT-US^FF_LIABS_CURR_OTH('ANN_R','-2','0','YEARLY',RP,'LOCAL','M')@0&lt;/Q&gt;&lt;R&gt;3&lt;/R&gt;&lt;C&gt;1&lt;/C&gt;&lt;D xsi:type="xsd:double"&gt;451.7&lt;/D&gt;&lt;D xsi:type="xsd:double"&gt;432.5&lt;/D&gt;&lt;D xsi:type="xsd:double"&gt;401.9&lt;/D&gt;&lt;/FQL&gt;&lt;FQL&gt;&lt;Q&gt;VNT-US^FF_PAY_TAX('ANN_R','-2','0','YEARLY',RP,'LOCAL','M')@0&lt;/Q&gt;&lt;R&gt;3&lt;/R&gt;&lt;C&gt;1&lt;/C&gt;&lt;D xsi:type="xsd:double"&gt;28.9&lt;/D&gt;&lt;D xsi:type="xsd:double"&gt;35.4&lt;/D&gt;&lt;D xsi:type="xsd:double"&gt;60.6&lt;/D&gt;&lt;/FQL&gt;&lt;FQL&gt;&lt;Q&gt;VNT-US^FF_PAY_ACCT('ANN_R','-2','0','YEARLY',RP,'LOCAL','M')@0&lt;/Q&gt;&lt;R&gt;3&lt;/R&gt;&lt;C&gt;1&lt;/C&gt;&lt;D xsi:type="xsd:double"&gt;430.9&lt;/D&gt;&lt;D xsi:type="xsd:double"&gt;366.8&lt;/D&gt;&lt;D xsi:type="xsd:double"&gt;378.1&lt;/D&gt;&lt;/FQL&gt;&lt;FQL&gt;&lt;Q&gt;VNT-US^FF_DEBT_ST('ANN_R','-2','0','YEARLY',RP,'LOCAL','M')@0&lt;/Q&gt;&lt;R&gt;3&lt;/R&gt;&lt;C&gt;1&lt;/C&gt;&lt;D xsi:type="xsd:double"&gt;18.4&lt;/D&gt;&lt;D xsi:type="xsd:double"&gt;120.6&lt;/D&gt;&lt;D xsi:type="xsd:double"&gt;68.6&lt;/D&gt;&lt;/FQL&gt;&lt;FQL&gt;&lt;Q&gt;VNT-US^FF_ASSETS_OTH('ANN_R','-2','0','YEARLY',RP,'LOCAL','M')@0&lt;/Q&gt;&lt;R&gt;3&lt;/R&gt;&lt;C&gt;1&lt;/C&gt;&lt;D xsi:type="xsd:double"&gt;136.1&lt;/D&gt;&lt;D xsi:type="xsd:double"&gt;181.4&lt;/D&gt;&lt;D xsi:type="xsd:double"&gt;218.6&lt;/D&gt;&lt;/FQL&gt;&lt;FQL&gt;&lt;Q&gt;VNT-US^FF_INTANG('ANN_R','-2','0','YEARLY',RP,'LOCAL','M')@0&lt;/Q&gt;&lt;R&gt;3&lt;/R&gt;&lt;C&gt;1&lt;/C&gt;&lt;D xsi:type="xsd:double"&gt;2388.4&lt;/D&gt;&lt;D xsi:type="xsd:double"&gt;2310.7&lt;/D&gt;&lt;D xsi:type="xsd:double"&gt;2212.5&lt;/D&gt;&lt;/FQL&gt;&lt;FQL&gt;&lt;Q&gt;VNT-US^FF_INVEST_LT('ANN_R','-2','0','YEARLY',RP,'LOCAL','M')@0&lt;/Q&gt;&lt;R&gt;3&lt;/R&gt;&lt;C&gt;1&lt;/C&gt;&lt;D xsi:type="xsd:double"&gt;297.2&lt;/D&gt;&lt;D xsi:type="xsd:double"&gt;320.1&lt;/D&gt;&lt;D xsi:type="xsd:double"&gt;342.4&lt;/D&gt;&lt;/FQL&gt;&lt;FQL&gt;&lt;Q&gt;VNT-US^FF_PPE_NET('ANN_R','-2','0','YEARLY',RP,'LOCAL','M')@0&lt;/Q&gt;&lt;R&gt;3&lt;/R&gt;&lt;C&gt;1&lt;/C&gt;&lt;D xsi:type="xsd:double"&gt;136.6&lt;/D&gt;&lt;D xsi:type="xsd:double"&gt;149.3&lt;/D&gt;&lt;D xsi:type="xsd:double"&gt;167&lt;/D&gt;&lt;/FQL&gt;&lt;FQL&gt;&lt;Q&gt;VNT-US^FF_ASSETS_CURR_OTH('ANN_R','-2','0','YEARLY',RP,'LOCAL','M')@0&lt;/Q&gt;&lt;R&gt;3&lt;/R&gt;&lt;C&gt;1&lt;/C&gt;&lt;D xsi:type="xsd:double"&gt;264.9&lt;/D&gt;&lt;D xsi:type="xsd:double"&gt;178&lt;/D&gt;&lt;D xsi:type="xsd:double"&gt;127.6&lt;/D&gt;&lt;/FQL&gt;&lt;FQL&gt;&lt;Q&gt;VNT-US^FF_INVEN('ANN_R','-2','0','YEARLY',RP,'LOCAL','M')@0&lt;/Q&gt;&lt;R&gt;3&lt;/R&gt;&lt;C&gt;1&lt;/C&gt;&lt;D xsi:type="xsd:double"&gt;346&lt;/D&gt;&lt;D xsi:type="xsd:double"&gt;296.6&lt;/D&gt;&lt;D xsi:type="xsd:double"&gt;337.8&lt;/D&gt;&lt;/FQL&gt;&lt;FQL&gt;&lt;Q&gt;VNT-US^FF_RECEIV_ST('ANN_R','-2','0','YEARLY',RP,'LOCAL','M')@0&lt;/Q&gt;&lt;R&gt;3&lt;/R&gt;&lt;C&gt;1&lt;/C&gt;&lt;D xsi:type="xsd:double"&gt;548.3&lt;/D&gt;&lt;D xsi:type="xsd:double"&gt;517&lt;/D&gt;&lt;D xsi:type="xsd:double"&gt;548.2&lt;/D&gt;&lt;/FQL&gt;&lt;FQL&gt;&lt;Q&gt;VNT-US^FF_CASH_ST('ANN_R','-2','0','YEARLY',RP,'LOCAL','M')@0&lt;/Q&gt;&lt;R&gt;3&lt;/R&gt;&lt;C&gt;1&lt;/C&gt;&lt;D xsi:type="xsd:double"&gt;225.8&lt;/D&gt;&lt;D xsi:type="xsd:double"&gt;340.9&lt;/D&gt;&lt;D xsi:type="xsd:double"&gt;356.4&lt;/D&gt;&lt;/FQL&gt;&lt;FQL&gt;&lt;Q&gt;VNT-US^FF_INC_TAX('ANN_R','-2','0','YEARLY',RP,'LOCAL','M')@0&lt;/Q&gt;&lt;R&gt;3&lt;/R&gt;&lt;C&gt;1&lt;/C&gt;&lt;D xsi:type="xsd:double"&gt;126.1&lt;/D&gt;&lt;D xsi:type="xsd:double"&gt;106.6&lt;/D&gt;&lt;D xsi:type="xsd:double"&gt;75.4&lt;/D&gt;&lt;/FQL&gt;&lt;FQL&gt;&lt;Q&gt;VNT-US^FF_UNUSUAL_EXP('ANN_R','-2','0','YEARLY',RP,'LOCAL','M')@0&lt;/Q&gt;&lt;R&gt;3&lt;/R&gt;&lt;C&gt;1&lt;/C&gt;&lt;D xsi:type="xsd:double"&gt;-10&lt;/D&gt;&lt;D xsi:type="xsd:double"&gt;25.2&lt;/D&gt;&lt;D xsi:type="xsd:double"&gt;13.5&lt;/D&gt;&lt;/FQL&gt;&lt;FQL&gt;&lt;Q&gt;VNT-US^FF_MISC_EXP_NON_OPER('ANN_R','-2','0','YEARLY',RP,'LOCAL','M')@0&lt;/Q&gt;&lt;R&gt;3&lt;/R&gt;&lt;C&gt;1&lt;/C&gt;&lt;D xsi:type="xsd:double"&gt;-4.9&lt;/D&gt;&lt;D xsi:type="xsd:double"&gt;33.8&lt;/D&gt;&lt;D xsi:type="xsd:double"&gt;35.3&lt;/D&gt;&lt;/FQL&gt;&lt;FQL&gt;&lt;Q&gt;VNT-US^FF_INT_INC_NET('ANN_R','-2','0','YEARLY',RP,'LOCAL','M')@0&lt;/Q&gt;&lt;R&gt;3&lt;/R&gt;&lt;C&gt;1&lt;/C&gt;&lt;D xsi:type="xsd:double"&gt;0&lt;/D&gt;&lt;D xsi:type="xsd:double"&gt;0&lt;/D&gt;&lt;D xsi:type="xsd:double"&gt;0&lt;/D&gt;&lt;/FQL&gt;&lt;FQL&gt;&lt;Q&gt;VNT-US^FF_INT_EXP_NET('ANN_R','-2','0','YEARLY',RP,'LOCAL','M')@0&lt;/Q&gt;&lt;R&gt;3&lt;/R&gt;&lt;C&gt;1&lt;/C&gt;&lt;D xsi:type="xsd:double"&gt;69.6&lt;/D&gt;&lt;D xsi:type="xsd:double"&gt;93.7&lt;/D&gt;&lt;D xsi:type="xsd:double"&gt;74.7&lt;/D&gt;&lt;/FQL&gt;&lt;FQL&gt;&lt;Q&gt;VNT-US^IF(ISAV(FF_SGA('ANN_R','-2','0','YEARLY',RP,'LOCAL','M')), FF_RD_EXP('ANN_R','-2','0','YEARLY',RP,'LOCAL','M'), FLOAT_NA)@0&lt;/Q&gt;&lt;R&gt;3&lt;/R&gt;&lt;C&gt;1&lt;/C&gt;&lt;D xsi:type="xsd:double"&gt;144.6&lt;/D&gt;&lt;D xsi:type="xsd:double"&gt;163.5&lt;/D&gt;&lt;D xsi:type="xsd:double"&gt;177.7&lt;/D&gt;&lt;/FQL&gt;&lt;FQL&gt;&lt;Q&gt;VNT-US^FF_SGA_OTH('ANN_R','-2','0','YEARLY',RP,'LOCAL','M')@0&lt;/Q&gt;&lt;R&gt;3&lt;/R&gt;&lt;C&gt;1&lt;/C&gt;&lt;D xsi:type="xsd:double"&gt;617&lt;/D&gt;&lt;D xsi:type="xsd:double"&gt;628.1&lt;/D&gt;&lt;D xsi:type="xsd:double"&gt;618&lt;/D&gt;&lt;/FQL&gt;&lt;FQL&gt;&lt;Q&gt;VNT-US^FF_COGS('ANN_R','-2','0','YEARLY',RP,'LOCAL','M')@0&lt;/Q&gt;&lt;R&gt;3&lt;/R&gt;&lt;C&gt;1&lt;/C&gt;&lt;D xsi:type="xsd:double"&gt;1830.9&lt;/D&gt;&lt;D xsi:type="xsd:double"&gt;1735&lt;/D&gt;&lt;D xsi:type="xsd:double"&gt;1632.8&lt;/D&gt;&lt;/FQL&gt;&lt;FQL&gt;&lt;Q&gt;VNT-US^FF_SALES('ANN_R','-2','0','YEARLY',RP,'LOCAL','M')@0&lt;/Q&gt;&lt;R&gt;3&lt;/R&gt;&lt;C&gt;1&lt;/C&gt;&lt;D xsi:type="xsd:double"&gt;3184.4&lt;/D&gt;&lt;D xsi:type="xsd:double"&gt;3095.2&lt;/D&gt;&lt;D xsi:type="xsd:double"&gt;2979&lt;/D&gt;&lt;/FQL&gt;&lt;FQL&gt;&lt;Q&gt;VNT-US^FF_FP_END_DATE('ANN','-2','0',,RP)&lt;/Q&gt;&lt;R&gt;3&lt;/R&gt;&lt;C&gt;1&lt;/C&gt;&lt;D xsi:type="xsd:string"&gt;12/2022&lt;/D&gt;&lt;D xsi:type="xsd:string"&gt;12/2023&lt;/D&gt;&lt;D xsi:type="xsd:string"&gt;12/2024&lt;/D&gt;&lt;/FQL&gt;&lt;/Schema&gt;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tc={09455F18-F71D-3543-821D-9A796B21C42A}</author>
    <author>tc={10ADCC74-EC3C-B54F-84A6-11F19080DE07}</author>
    <author>tc={07CB70DC-703F-BE4C-BF10-0685BD40999B}</author>
  </authors>
  <commentList>
    <comment ref="G18" authorId="0" shapeId="0" xr:uid="{09455F18-F71D-3543-821D-9A796B21C42A}">
      <text>
        <t>[Threaded comment]
Your version of Excel allows you to read this threaded comment; however, any edits to it will get removed if the file is opened in a newer version of Excel. Learn more: https://go.microsoft.com/fwlink/?linkid=870924
Comment:
    Street consensus COGS decrease is too drastic to be justified (77%), so hardcoded 85% as a slight margin improvement that is more defensible</t>
      </text>
    </comment>
    <comment ref="C82" authorId="1" shapeId="0" xr:uid="{10ADCC74-EC3C-B54F-84A6-11F19080DE07}">
      <text>
        <t>[Threaded comment]
Your version of Excel allows you to read this threaded comment; however, any edits to it will get removed if the file is opened in a newer version of Excel. Learn more: https://go.microsoft.com/fwlink/?linkid=870924
Comment:
    Negative income in 2022 - find out why</t>
      </text>
    </comment>
    <comment ref="B84" authorId="2" shapeId="0" xr:uid="{07CB70DC-703F-BE4C-BF10-0685BD40999B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 from "Other Non-Cash Items"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tc={A4AE6FA6-1A23-5F4F-A036-9DB93C7A0962}</author>
    <author>tc={EE32DA8F-02A9-3A42-80E8-43A8B4D39A82}</author>
    <author>tc={8BA9B5C4-1615-384B-903C-17943765BD7C}</author>
  </authors>
  <commentList>
    <comment ref="G18" authorId="0" shapeId="0" xr:uid="{A4AE6FA6-1A23-5F4F-A036-9DB93C7A0962}">
      <text>
        <t>[Threaded comment]
Your version of Excel allows you to read this threaded comment; however, any edits to it will get removed if the file is opened in a newer version of Excel. Learn more: https://go.microsoft.com/fwlink/?linkid=870924
Comment:
    Street consensus COGS decrease is too drastic to be justified (77%), so hardcoded 85% as a slight margin improvement that is more defensible</t>
      </text>
    </comment>
    <comment ref="C82" authorId="1" shapeId="0" xr:uid="{EE32DA8F-02A9-3A42-80E8-43A8B4D39A82}">
      <text>
        <t>[Threaded comment]
Your version of Excel allows you to read this threaded comment; however, any edits to it will get removed if the file is opened in a newer version of Excel. Learn more: https://go.microsoft.com/fwlink/?linkid=870924
Comment:
    Negative income in 2022 - find out why</t>
      </text>
    </comment>
    <comment ref="B84" authorId="2" shapeId="0" xr:uid="{8BA9B5C4-1615-384B-903C-17943765BD7C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 from "Other Non-Cash Items"</t>
      </text>
    </comment>
  </commentList>
</comments>
</file>

<file path=xl/sharedStrings.xml><?xml version="1.0" encoding="utf-8"?>
<sst xmlns="http://schemas.openxmlformats.org/spreadsheetml/2006/main" count="494" uniqueCount="254">
  <si>
    <t>Assumptions</t>
  </si>
  <si>
    <t>Street Consensus</t>
  </si>
  <si>
    <t>Sales</t>
  </si>
  <si>
    <t>Cost of Sales</t>
  </si>
  <si>
    <t>EBITDA</t>
  </si>
  <si>
    <t>Sales Growth Rate</t>
  </si>
  <si>
    <t>COGS as % of Sales</t>
  </si>
  <si>
    <t>Depreciation as % of PPE</t>
  </si>
  <si>
    <t>SG&amp;A as % of Sales</t>
  </si>
  <si>
    <t>R&amp;D as % of Sales</t>
  </si>
  <si>
    <t>Interest Rate on Debt</t>
  </si>
  <si>
    <t>Interest Rate on Cash</t>
  </si>
  <si>
    <t>Tax Rate</t>
  </si>
  <si>
    <t>Balance Sheet and Cash Flow Assumptions</t>
  </si>
  <si>
    <t>Days in Accounts Receivable</t>
  </si>
  <si>
    <t>Days in Inventory</t>
  </si>
  <si>
    <t>Days in Payables</t>
  </si>
  <si>
    <t>Other Current Assets as % of Sales</t>
  </si>
  <si>
    <t>Other Current Liabilities as % of COGS</t>
  </si>
  <si>
    <t>Minimum Cash</t>
  </si>
  <si>
    <t>Long-term Debt Maturity</t>
  </si>
  <si>
    <t>n/a</t>
  </si>
  <si>
    <t>Capex as % of Sales</t>
  </si>
  <si>
    <t>Income Statement</t>
  </si>
  <si>
    <t>Cost of Goods Sold (COGS) incl. D&amp;A</t>
  </si>
  <si>
    <t>Gross Income</t>
  </si>
  <si>
    <t>Selling General &amp; Admin Exp.</t>
  </si>
  <si>
    <t>R &amp; D Exp.</t>
  </si>
  <si>
    <t>EBIT (Operating Income)</t>
  </si>
  <si>
    <t>Interest Expense</t>
  </si>
  <si>
    <t>Interest and Invest. Income</t>
  </si>
  <si>
    <t>Other Expenses</t>
  </si>
  <si>
    <t>Income Taxes</t>
  </si>
  <si>
    <t>Net Income</t>
  </si>
  <si>
    <t>Balance Sheet</t>
  </si>
  <si>
    <t>Assets</t>
  </si>
  <si>
    <t>Cash &amp; Short-Term Investments</t>
  </si>
  <si>
    <t>Accounts Receivable</t>
  </si>
  <si>
    <t>Inventories</t>
  </si>
  <si>
    <t>Other Current Assets</t>
  </si>
  <si>
    <t>Total Current Assets</t>
  </si>
  <si>
    <t>Net Property, Plant &amp; Equipment</t>
  </si>
  <si>
    <t>Long-Term Investments</t>
  </si>
  <si>
    <t>Intangible Assets</t>
  </si>
  <si>
    <t>Other Assets</t>
  </si>
  <si>
    <t>Total Assets</t>
  </si>
  <si>
    <t>Liabilities &amp; Shareholders' Equity</t>
  </si>
  <si>
    <t>ST Debt &amp; Curr. Portion LT Debt</t>
  </si>
  <si>
    <t>Accounts Payable</t>
  </si>
  <si>
    <t>Income Tax Payable</t>
  </si>
  <si>
    <t>Other Current Liabilities</t>
  </si>
  <si>
    <t>Total Current Liabilities</t>
  </si>
  <si>
    <t>Long-Term Debt</t>
  </si>
  <si>
    <t>Other Liabilities</t>
  </si>
  <si>
    <t>Total Liabilities</t>
  </si>
  <si>
    <t>Common Equity</t>
  </si>
  <si>
    <t>Total Liabilities &amp; Shareholders' Equity</t>
  </si>
  <si>
    <t>Check</t>
  </si>
  <si>
    <t>Cash Flow Statement</t>
  </si>
  <si>
    <t>Operating Activities</t>
  </si>
  <si>
    <t>Net Income / Starting Line</t>
  </si>
  <si>
    <t>Changes in Working Capital</t>
  </si>
  <si>
    <t>Short-Term Receivables</t>
  </si>
  <si>
    <t>Net Operating Cash Flow</t>
  </si>
  <si>
    <t>Investing Activities</t>
  </si>
  <si>
    <t>Capital Expenditures</t>
  </si>
  <si>
    <t>Purchase/Sale of Investments</t>
  </si>
  <si>
    <t>Net Investing Cash Flow</t>
  </si>
  <si>
    <t>Financing Activities</t>
  </si>
  <si>
    <t>Cash Dividends Paid</t>
  </si>
  <si>
    <t>Change in Capital Stock</t>
  </si>
  <si>
    <t>Issuance/Reduction of Debt, Net</t>
  </si>
  <si>
    <t>Other Funds</t>
  </si>
  <si>
    <t>Net Financing Cash Flow</t>
  </si>
  <si>
    <t>Exchange Rate Effect</t>
  </si>
  <si>
    <t>Beginning Cash</t>
  </si>
  <si>
    <t>Net Change in Cash</t>
  </si>
  <si>
    <t>Debt Schedule</t>
  </si>
  <si>
    <t>Cash Flow before Revolver</t>
  </si>
  <si>
    <t>Short Term Debt (Revolver)</t>
  </si>
  <si>
    <t>Beginning Balance</t>
  </si>
  <si>
    <t>(Paydown) / Drawdown</t>
  </si>
  <si>
    <t>Ending Balance</t>
  </si>
  <si>
    <t>Interest Rate</t>
  </si>
  <si>
    <t>Current Portion of LT Debt</t>
  </si>
  <si>
    <t>LT Debt</t>
  </si>
  <si>
    <t>Total Debt</t>
  </si>
  <si>
    <t>Interest Income</t>
  </si>
  <si>
    <t>Free Cash Flow</t>
  </si>
  <si>
    <t>This sheet contains FactSet XML data for use with this workbook's =FDS codes.  Modifying the worksheet's contents may damage the workbook's =FDS functionality.</t>
  </si>
  <si>
    <t>12/2022</t>
  </si>
  <si>
    <t>12/2023</t>
  </si>
  <si>
    <t>12/2024</t>
  </si>
  <si>
    <t>-</t>
  </si>
  <si>
    <t>Depreciation, Depletion &amp; Amortization</t>
  </si>
  <si>
    <t>Deferred Taxes &amp; Investment Tax Credit &amp; Other Funds</t>
  </si>
  <si>
    <t xml:space="preserve">Other Funds </t>
  </si>
  <si>
    <t xml:space="preserve">All figures in millions of U.S. Dollar </t>
  </si>
  <si>
    <t>F-US</t>
  </si>
  <si>
    <t>Ford Motor Company (F)</t>
  </si>
  <si>
    <t>$12.08</t>
  </si>
  <si>
    <t>Ford Motor Company</t>
  </si>
  <si>
    <t xml:space="preserve">F   345370860   2615468   NYSE    Common stock    </t>
  </si>
  <si>
    <t>Source: FactSet Fundamentals</t>
  </si>
  <si>
    <t>DEC '25</t>
  </si>
  <si>
    <t>DEC '24</t>
  </si>
  <si>
    <t>DEC '23</t>
  </si>
  <si>
    <t>DEC '22</t>
  </si>
  <si>
    <t>DEC '21</t>
  </si>
  <si>
    <t>DEC '20</t>
  </si>
  <si>
    <t>DEC '19</t>
  </si>
  <si>
    <t>DEC '18</t>
  </si>
  <si>
    <t>DEC '17</t>
  </si>
  <si>
    <t>DEC '16</t>
  </si>
  <si>
    <t>Restate</t>
  </si>
  <si>
    <t>Cash Only</t>
  </si>
  <si>
    <t>Total Short Term Investments</t>
  </si>
  <si>
    <t>Accounts Receivables, Net</t>
  </si>
  <si>
    <t>Accounts Receivables, Gross</t>
  </si>
  <si>
    <t>Bad Debt/Doubtful Accounts</t>
  </si>
  <si>
    <t>Other Receivables</t>
  </si>
  <si>
    <t>Finished Goods</t>
  </si>
  <si>
    <t>Raw Materials</t>
  </si>
  <si>
    <t>Progress Payments &amp; Other</t>
  </si>
  <si>
    <t>Miscellaneous Current Assets</t>
  </si>
  <si>
    <t>Property, Plant &amp; Equipment - Gross</t>
  </si>
  <si>
    <t>Buildings</t>
  </si>
  <si>
    <t>Land &amp; Improvements</t>
  </si>
  <si>
    <t>Machinery &amp; Equipment</t>
  </si>
  <si>
    <t>Construction in Progress</t>
  </si>
  <si>
    <t>Computer Software and Equipment</t>
  </si>
  <si>
    <t>Leased Property</t>
  </si>
  <si>
    <t>Other Property, Plant &amp; Equipment</t>
  </si>
  <si>
    <t>Operating Lease Right-of-Use Assets</t>
  </si>
  <si>
    <t>Accumulated Depreciation</t>
  </si>
  <si>
    <t xml:space="preserve">Total Long-Term Investments </t>
  </si>
  <si>
    <t>LT Investment - Affiliate Companies</t>
  </si>
  <si>
    <t>Other Long-Term Investments</t>
  </si>
  <si>
    <t>Long-Term Note Receivable</t>
  </si>
  <si>
    <t>Goodwill</t>
  </si>
  <si>
    <t>Other Intangible Assets</t>
  </si>
  <si>
    <t>Deferred Tax Assets</t>
  </si>
  <si>
    <t>Tangible Other Assets</t>
  </si>
  <si>
    <t>Current</t>
  </si>
  <si>
    <t>Accrued Payroll</t>
  </si>
  <si>
    <t>Miscellaneous Current Liabilities</t>
  </si>
  <si>
    <t>Long-Term</t>
  </si>
  <si>
    <t>Long-Term Debt excl Lease Obligations</t>
  </si>
  <si>
    <t>Capital and Operating Lease Obligations</t>
  </si>
  <si>
    <t>Provision for Risks &amp; Charges</t>
  </si>
  <si>
    <t>Deferred Tax Liabilities</t>
  </si>
  <si>
    <t>Other Liabilities (excl. Deferred Income)</t>
  </si>
  <si>
    <t>Deferred Income</t>
  </si>
  <si>
    <t>Equity</t>
  </si>
  <si>
    <t>Common Stock Par/Carry Value</t>
  </si>
  <si>
    <t>Additional Paid-In Capital/Capital Surplus</t>
  </si>
  <si>
    <t>Retained Earnings</t>
  </si>
  <si>
    <t>Cumulative Translation Adjustment/Unrealized For. Exch. Gain</t>
  </si>
  <si>
    <t>Unrealized Gain/Loss Marketable Securities</t>
  </si>
  <si>
    <t>Other Appropriated Reserves</t>
  </si>
  <si>
    <t>Treasury Stock</t>
  </si>
  <si>
    <t>Total Shareholders' Equity</t>
  </si>
  <si>
    <t>Accumulated Minority Interest</t>
  </si>
  <si>
    <t>Total Equity</t>
  </si>
  <si>
    <t>Per Share</t>
  </si>
  <si>
    <t>Book Value per Share</t>
  </si>
  <si>
    <t>Tangible Book Value per Share</t>
  </si>
  <si>
    <t>All figures in billions of U.S. Dollar except per share items.</t>
  </si>
  <si>
    <t>MAR '26</t>
  </si>
  <si>
    <t>LTM</t>
  </si>
  <si>
    <t>Preliminary</t>
  </si>
  <si>
    <t>Depreciation and Depletion</t>
  </si>
  <si>
    <t>Amortization of Intangible Assets</t>
  </si>
  <si>
    <t>Deferred Taxes &amp; Investment Tax Credit</t>
  </si>
  <si>
    <t>Deferred Taxes</t>
  </si>
  <si>
    <t>Funds from Operations</t>
  </si>
  <si>
    <t>Receivables</t>
  </si>
  <si>
    <t>Other Assets/Liabilities</t>
  </si>
  <si>
    <t>Capital Expenditures (Fixed Assets)</t>
  </si>
  <si>
    <t>Sale of Fixed Assets &amp; Businesses</t>
  </si>
  <si>
    <t>Purchase of Investments</t>
  </si>
  <si>
    <t>Sale/Maturity of Investments</t>
  </si>
  <si>
    <t>Other Uses</t>
  </si>
  <si>
    <t>Other Sources</t>
  </si>
  <si>
    <t>Common Dividends</t>
  </si>
  <si>
    <t>Repurchase of Common &amp; Preferred Stk.</t>
  </si>
  <si>
    <t>Change in Current Debt</t>
  </si>
  <si>
    <t>Change in Long-Term Debt</t>
  </si>
  <si>
    <t>Issuance of Long-Term Debt</t>
  </si>
  <si>
    <t>Reduction in Long-Term Debt</t>
  </si>
  <si>
    <t>All Activities</t>
  </si>
  <si>
    <t>Free Cash Flow per Share</t>
  </si>
  <si>
    <t>Free Cash Flow Yield (%)</t>
  </si>
  <si>
    <t>COGS excluding D&amp;A</t>
  </si>
  <si>
    <t>Depreciation &amp; Amortization Expense</t>
  </si>
  <si>
    <t>Depreciation</t>
  </si>
  <si>
    <t>Amortization of Intangibles</t>
  </si>
  <si>
    <t>SG&amp;A Expense</t>
  </si>
  <si>
    <t>Research &amp; Development</t>
  </si>
  <si>
    <t>Other SG&amp;A</t>
  </si>
  <si>
    <t>Other Operating Expense</t>
  </si>
  <si>
    <t>Nonoperating Income - Net</t>
  </si>
  <si>
    <t>Nonoperating Interest Income</t>
  </si>
  <si>
    <t>Equity in Earnings of Affiliates</t>
  </si>
  <si>
    <t>Other Income (Expense)</t>
  </si>
  <si>
    <t>Gross Interest Expense</t>
  </si>
  <si>
    <t>Interest Capitalized</t>
  </si>
  <si>
    <t>Unusual Expense - Net</t>
  </si>
  <si>
    <t>Impairments</t>
  </si>
  <si>
    <t>Property,Plant &amp; Equipment</t>
  </si>
  <si>
    <t>Financial Fixed Assets</t>
  </si>
  <si>
    <t>Restructuring Expense</t>
  </si>
  <si>
    <t>Legal Claim Expense</t>
  </si>
  <si>
    <t>Unrealized Valuation Gain/Loss</t>
  </si>
  <si>
    <t>Investments</t>
  </si>
  <si>
    <t>Hedges/Derivatives</t>
  </si>
  <si>
    <t>Excpl Chrgs - Others</t>
  </si>
  <si>
    <t>Restructuring of Debt</t>
  </si>
  <si>
    <t>Early termination of Contracts costs (Income)</t>
  </si>
  <si>
    <t>Pretax Income</t>
  </si>
  <si>
    <t>Income Taxes - Current Domestic</t>
  </si>
  <si>
    <t>Income Taxes - Current Foreign</t>
  </si>
  <si>
    <t>Income Taxes - Deferred Domestic</t>
  </si>
  <si>
    <t>Income Taxes - Deferred Foreign</t>
  </si>
  <si>
    <t>Consolidated Net Income</t>
  </si>
  <si>
    <t>Minority Interest</t>
  </si>
  <si>
    <t>Net Income available to Common</t>
  </si>
  <si>
    <t>EPS (recurring)</t>
  </si>
  <si>
    <t>EPS (basic)</t>
  </si>
  <si>
    <t>Basic Shares Outstanding (M)</t>
  </si>
  <si>
    <t>Total Shares Outstanding (M)</t>
  </si>
  <si>
    <t>EPS (diluted)</t>
  </si>
  <si>
    <t>Diluted Shares Outstanding (M)</t>
  </si>
  <si>
    <t>Earnings Persistence</t>
  </si>
  <si>
    <t>Dividends per Share</t>
  </si>
  <si>
    <t>Payout Ratio</t>
  </si>
  <si>
    <t>EBIT</t>
  </si>
  <si>
    <t>All figures in billions of U.S. Dollar except per share and labeled items.</t>
  </si>
  <si>
    <t>Ending balance</t>
  </si>
  <si>
    <t>Income Statement Assumptions</t>
  </si>
  <si>
    <t>Note: Income Statement, Balance Sheet, and Cash Flow statement values are hardcoded in this tab in millions of USD (converted from billions USD given in original statements)</t>
  </si>
  <si>
    <t>Financial Forecast - Ford Motor Co.</t>
  </si>
  <si>
    <t>å</t>
  </si>
  <si>
    <t>% EBIT / Revenue</t>
  </si>
  <si>
    <t>Ford Vehicle Segment Information 2025</t>
  </si>
  <si>
    <t>Segment</t>
  </si>
  <si>
    <t>Ford Blue</t>
  </si>
  <si>
    <t>Ford Model e</t>
  </si>
  <si>
    <t>Ford Pro</t>
  </si>
  <si>
    <t>Ford Credit</t>
  </si>
  <si>
    <t>Tot. Revenues</t>
  </si>
  <si>
    <t>Total</t>
  </si>
  <si>
    <t>% of Total</t>
  </si>
  <si>
    <t>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</si>
</sst>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#,##0;\(#,##0\);&quot;-&quot;"/>
    <numFmt numFmtId="165" formatCode="[$-409]mmm\-yy;@"/>
    <numFmt numFmtId="166" formatCode="mm/yyyy;@"/>
    <numFmt numFmtId="167" formatCode="&quot;$&quot;#,##0"/>
    <numFmt numFmtId="168" formatCode="0.0%_);\(0.0%\);0.0%_);@_)"/>
    <numFmt numFmtId="169" formatCode="0.0%"/>
    <numFmt numFmtId="170" formatCode="#,##0.000"/>
    <numFmt numFmtId="171" formatCode="_(* #,##0_);_(* \(#,##0\);_(* &quot;-&quot;??_);_(@_)"/>
  </numFmts>
  <fonts count="3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80008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u val="double"/>
      <sz val="11"/>
      <color indexed="8"/>
      <name val="Calibri"/>
      <family val="2"/>
      <scheme val="minor"/>
    </font>
    <font>
      <b/>
      <sz val="11"/>
      <color rgb="FF0000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3366"/>
      <name val="Arial"/>
      <family val="2"/>
    </font>
    <font>
      <sz val="11"/>
      <color rgb="FFFF0000"/>
      <name val="Arial"/>
      <family val="2"/>
    </font>
    <font>
      <sz val="11"/>
      <color rgb="FF646464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i/>
      <sz val="11"/>
      <color rgb="FF002060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8C8C8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0F0F0"/>
        <bgColor rgb="FF000000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5">
    <xf numFmtId="0" fontId="0" fillId="0" borderId="0"/>
    <xf numFmtId="0" fontId="13" fillId="0" borderId="0"/>
    <xf numFmtId="0" fontId="14" fillId="0" borderId="0"/>
    <xf numFmtId="43" fontId="13" fillId="0" borderId="0" applyFont="0" applyFill="0" applyBorder="0" applyAlignment="0" applyProtection="0"/>
    <xf numFmtId="9" fontId="13" fillId="0" borderId="0" applyFont="0" applyFill="0" applyBorder="0" applyAlignment="0" applyProtection="0"/>
  </cellStyleXfs>
  <cellXfs count="167">
    <xf numFmtId="0" fontId="0" fillId="0" borderId="0" xfId="0"/>
    <xf numFmtId="164" fontId="3" fillId="0" borderId="0" xfId="0" applyNumberFormat="1" applyFont="1"/>
    <xf numFmtId="0" fontId="3" fillId="0" borderId="0" xfId="0" applyFont="1"/>
    <xf numFmtId="164" fontId="7" fillId="0" borderId="0" xfId="0" applyNumberFormat="1" applyFont="1"/>
    <xf numFmtId="3" fontId="8" fillId="0" borderId="0" xfId="0" applyNumberFormat="1" applyFont="1"/>
    <xf numFmtId="0" fontId="2" fillId="0" borderId="0" xfId="1" applyFont="1"/>
    <xf numFmtId="0" fontId="13" fillId="0" borderId="0" xfId="1"/>
    <xf numFmtId="164" fontId="3" fillId="0" borderId="0" xfId="1" applyNumberFormat="1" applyFont="1"/>
    <xf numFmtId="166" fontId="4" fillId="0" borderId="0" xfId="1" applyNumberFormat="1" applyFont="1"/>
    <xf numFmtId="0" fontId="3" fillId="0" borderId="0" xfId="1" applyFont="1"/>
    <xf numFmtId="0" fontId="5" fillId="2" borderId="0" xfId="1" applyFont="1" applyFill="1"/>
    <xf numFmtId="0" fontId="6" fillId="0" borderId="0" xfId="1" applyFont="1"/>
    <xf numFmtId="168" fontId="3" fillId="0" borderId="0" xfId="1" applyNumberFormat="1" applyFont="1"/>
    <xf numFmtId="3" fontId="3" fillId="0" borderId="0" xfId="1" applyNumberFormat="1" applyFont="1"/>
    <xf numFmtId="3" fontId="13" fillId="0" borderId="0" xfId="1" applyNumberFormat="1"/>
    <xf numFmtId="0" fontId="1" fillId="2" borderId="0" xfId="1" applyFont="1" applyFill="1"/>
    <xf numFmtId="0" fontId="10" fillId="2" borderId="0" xfId="1" applyFont="1" applyFill="1"/>
    <xf numFmtId="164" fontId="3" fillId="0" borderId="4" xfId="1" applyNumberFormat="1" applyFont="1" applyBorder="1"/>
    <xf numFmtId="1" fontId="3" fillId="0" borderId="0" xfId="1" applyNumberFormat="1" applyFont="1"/>
    <xf numFmtId="3" fontId="3" fillId="0" borderId="4" xfId="1" applyNumberFormat="1" applyFont="1" applyBorder="1"/>
    <xf numFmtId="0" fontId="11" fillId="0" borderId="0" xfId="1" applyFont="1"/>
    <xf numFmtId="164" fontId="13" fillId="0" borderId="0" xfId="1" applyNumberFormat="1"/>
    <xf numFmtId="165" fontId="2" fillId="0" borderId="0" xfId="1" applyNumberFormat="1" applyFont="1" applyAlignment="1">
      <alignment horizontal="center"/>
    </xf>
    <xf numFmtId="0" fontId="19" fillId="0" borderId="0" xfId="1" applyFont="1" applyAlignment="1">
      <alignment horizontal="left"/>
    </xf>
    <xf numFmtId="0" fontId="2" fillId="2" borderId="0" xfId="1" applyFont="1" applyFill="1"/>
    <xf numFmtId="164" fontId="0" fillId="0" borderId="0" xfId="1" applyNumberFormat="1" applyFont="1"/>
    <xf numFmtId="0" fontId="0" fillId="0" borderId="0" xfId="1" applyFont="1"/>
    <xf numFmtId="0" fontId="0" fillId="0" borderId="0" xfId="1" applyFont="1" applyAlignment="1">
      <alignment horizontal="left" indent="1"/>
    </xf>
    <xf numFmtId="0" fontId="20" fillId="0" borderId="0" xfId="0" applyFont="1"/>
    <xf numFmtId="0" fontId="0" fillId="0" borderId="5" xfId="0" applyBorder="1"/>
    <xf numFmtId="0" fontId="0" fillId="0" borderId="6" xfId="0" applyBorder="1"/>
    <xf numFmtId="0" fontId="20" fillId="3" borderId="0" xfId="0" applyFont="1" applyFill="1" applyAlignment="1">
      <alignment horizontal="left"/>
    </xf>
    <xf numFmtId="0" fontId="21" fillId="4" borderId="0" xfId="0" applyFont="1" applyFill="1" applyAlignment="1">
      <alignment horizontal="left"/>
    </xf>
    <xf numFmtId="0" fontId="21" fillId="5" borderId="0" xfId="0" applyFont="1" applyFill="1" applyAlignment="1">
      <alignment horizontal="left" indent="3"/>
    </xf>
    <xf numFmtId="170" fontId="21" fillId="5" borderId="0" xfId="0" applyNumberFormat="1" applyFont="1" applyFill="1" applyAlignment="1">
      <alignment horizontal="right"/>
    </xf>
    <xf numFmtId="0" fontId="0" fillId="4" borderId="0" xfId="0" applyFill="1" applyAlignment="1">
      <alignment horizontal="left" indent="4"/>
    </xf>
    <xf numFmtId="170" fontId="0" fillId="4" borderId="0" xfId="0" applyNumberFormat="1" applyFill="1" applyAlignment="1">
      <alignment horizontal="right"/>
    </xf>
    <xf numFmtId="0" fontId="0" fillId="0" borderId="0" xfId="0" applyAlignment="1">
      <alignment horizontal="left" indent="4"/>
    </xf>
    <xf numFmtId="170" fontId="0" fillId="0" borderId="0" xfId="0" applyNumberFormat="1" applyAlignment="1">
      <alignment horizontal="right"/>
    </xf>
    <xf numFmtId="0" fontId="21" fillId="0" borderId="0" xfId="0" applyFont="1" applyAlignment="1">
      <alignment horizontal="left" indent="6"/>
    </xf>
    <xf numFmtId="170" fontId="21" fillId="0" borderId="0" xfId="0" applyNumberFormat="1" applyFont="1" applyAlignment="1">
      <alignment horizontal="right"/>
    </xf>
    <xf numFmtId="0" fontId="0" fillId="4" borderId="0" xfId="0" applyFill="1" applyAlignment="1">
      <alignment horizontal="left" indent="7"/>
    </xf>
    <xf numFmtId="0" fontId="0" fillId="0" borderId="0" xfId="0" applyAlignment="1">
      <alignment horizontal="left" indent="7"/>
    </xf>
    <xf numFmtId="170" fontId="22" fillId="0" borderId="0" xfId="0" applyNumberFormat="1" applyFont="1" applyAlignment="1">
      <alignment horizontal="right"/>
    </xf>
    <xf numFmtId="170" fontId="22" fillId="4" borderId="0" xfId="0" applyNumberFormat="1" applyFont="1" applyFill="1" applyAlignment="1">
      <alignment horizontal="right"/>
    </xf>
    <xf numFmtId="0" fontId="0" fillId="0" borderId="0" xfId="0" applyAlignment="1">
      <alignment horizontal="left" indent="1"/>
    </xf>
    <xf numFmtId="170" fontId="0" fillId="0" borderId="0" xfId="0" applyNumberFormat="1" applyAlignment="1">
      <alignment horizontal="left"/>
    </xf>
    <xf numFmtId="0" fontId="0" fillId="5" borderId="0" xfId="0" applyFill="1" applyAlignment="1">
      <alignment horizontal="left" indent="1"/>
    </xf>
    <xf numFmtId="170" fontId="0" fillId="5" borderId="0" xfId="0" applyNumberFormat="1" applyFill="1" applyAlignment="1">
      <alignment horizontal="right"/>
    </xf>
    <xf numFmtId="170" fontId="21" fillId="4" borderId="0" xfId="0" applyNumberFormat="1" applyFont="1" applyFill="1" applyAlignment="1">
      <alignment horizontal="left"/>
    </xf>
    <xf numFmtId="0" fontId="21" fillId="0" borderId="0" xfId="0" applyFont="1" applyAlignment="1">
      <alignment horizontal="left" indent="3"/>
    </xf>
    <xf numFmtId="170" fontId="21" fillId="0" borderId="0" xfId="0" applyNumberFormat="1" applyFont="1" applyAlignment="1">
      <alignment horizontal="left"/>
    </xf>
    <xf numFmtId="0" fontId="0" fillId="5" borderId="0" xfId="0" applyFill="1" applyAlignment="1">
      <alignment horizontal="left" indent="4"/>
    </xf>
    <xf numFmtId="0" fontId="21" fillId="5" borderId="0" xfId="0" applyFont="1" applyFill="1" applyAlignment="1">
      <alignment horizontal="left" indent="6"/>
    </xf>
    <xf numFmtId="0" fontId="21" fillId="4" borderId="0" xfId="0" applyFont="1" applyFill="1" applyAlignment="1">
      <alignment horizontal="left" indent="3"/>
    </xf>
    <xf numFmtId="170" fontId="22" fillId="5" borderId="0" xfId="0" applyNumberFormat="1" applyFont="1" applyFill="1" applyAlignment="1">
      <alignment horizontal="right"/>
    </xf>
    <xf numFmtId="0" fontId="0" fillId="4" borderId="0" xfId="0" applyFill="1" applyAlignment="1">
      <alignment horizontal="left" indent="1"/>
    </xf>
    <xf numFmtId="0" fontId="21" fillId="0" borderId="0" xfId="0" applyFont="1" applyAlignment="1">
      <alignment horizontal="left"/>
    </xf>
    <xf numFmtId="0" fontId="23" fillId="5" borderId="0" xfId="0" applyFont="1" applyFill="1" applyAlignment="1">
      <alignment horizontal="left"/>
    </xf>
    <xf numFmtId="170" fontId="0" fillId="4" borderId="0" xfId="0" applyNumberFormat="1" applyFill="1" applyAlignment="1">
      <alignment horizontal="left"/>
    </xf>
    <xf numFmtId="170" fontId="21" fillId="4" borderId="0" xfId="0" applyNumberFormat="1" applyFont="1" applyFill="1" applyAlignment="1">
      <alignment horizontal="right"/>
    </xf>
    <xf numFmtId="0" fontId="24" fillId="6" borderId="0" xfId="0" applyFont="1" applyFill="1" applyAlignment="1">
      <alignment horizontal="left"/>
    </xf>
    <xf numFmtId="170" fontId="25" fillId="0" borderId="0" xfId="0" applyNumberFormat="1" applyFont="1" applyAlignment="1">
      <alignment horizontal="left"/>
    </xf>
    <xf numFmtId="0" fontId="26" fillId="6" borderId="0" xfId="0" applyFont="1" applyFill="1" applyAlignment="1">
      <alignment horizontal="left"/>
    </xf>
    <xf numFmtId="0" fontId="21" fillId="7" borderId="0" xfId="0" applyFont="1" applyFill="1" applyAlignment="1">
      <alignment horizontal="left"/>
    </xf>
    <xf numFmtId="170" fontId="21" fillId="7" borderId="0" xfId="0" applyNumberFormat="1" applyFont="1" applyFill="1" applyAlignment="1">
      <alignment horizontal="right"/>
    </xf>
    <xf numFmtId="0" fontId="21" fillId="7" borderId="0" xfId="0" applyFont="1" applyFill="1" applyAlignment="1">
      <alignment horizontal="left" indent="3"/>
    </xf>
    <xf numFmtId="0" fontId="27" fillId="0" borderId="0" xfId="0" applyFont="1" applyAlignment="1">
      <alignment horizontal="left" indent="4"/>
    </xf>
    <xf numFmtId="170" fontId="27" fillId="0" borderId="0" xfId="0" applyNumberFormat="1" applyFont="1" applyAlignment="1">
      <alignment horizontal="right"/>
    </xf>
    <xf numFmtId="0" fontId="21" fillId="8" borderId="0" xfId="0" applyFont="1" applyFill="1" applyAlignment="1">
      <alignment horizontal="left" indent="6"/>
    </xf>
    <xf numFmtId="170" fontId="21" fillId="8" borderId="0" xfId="0" applyNumberFormat="1" applyFont="1" applyFill="1" applyAlignment="1">
      <alignment horizontal="right"/>
    </xf>
    <xf numFmtId="0" fontId="27" fillId="0" borderId="0" xfId="0" applyFont="1" applyAlignment="1">
      <alignment horizontal="left" indent="7"/>
    </xf>
    <xf numFmtId="0" fontId="27" fillId="8" borderId="0" xfId="0" applyFont="1" applyFill="1" applyAlignment="1">
      <alignment horizontal="left" indent="7"/>
    </xf>
    <xf numFmtId="170" fontId="22" fillId="8" borderId="0" xfId="0" applyNumberFormat="1" applyFont="1" applyFill="1" applyAlignment="1">
      <alignment horizontal="right"/>
    </xf>
    <xf numFmtId="0" fontId="27" fillId="7" borderId="0" xfId="0" applyFont="1" applyFill="1" applyAlignment="1">
      <alignment horizontal="left" indent="4"/>
    </xf>
    <xf numFmtId="170" fontId="27" fillId="7" borderId="0" xfId="0" applyNumberFormat="1" applyFont="1" applyFill="1" applyAlignment="1">
      <alignment horizontal="right"/>
    </xf>
    <xf numFmtId="0" fontId="27" fillId="8" borderId="0" xfId="0" applyFont="1" applyFill="1" applyAlignment="1">
      <alignment horizontal="left" indent="4"/>
    </xf>
    <xf numFmtId="170" fontId="27" fillId="8" borderId="0" xfId="0" applyNumberFormat="1" applyFont="1" applyFill="1" applyAlignment="1">
      <alignment horizontal="right"/>
    </xf>
    <xf numFmtId="0" fontId="27" fillId="0" borderId="0" xfId="0" applyFont="1" applyAlignment="1">
      <alignment horizontal="left" indent="1"/>
    </xf>
    <xf numFmtId="0" fontId="21" fillId="8" borderId="0" xfId="0" applyFont="1" applyFill="1" applyAlignment="1">
      <alignment horizontal="left"/>
    </xf>
    <xf numFmtId="0" fontId="21" fillId="8" borderId="0" xfId="0" applyFont="1" applyFill="1" applyAlignment="1">
      <alignment horizontal="left" indent="3"/>
    </xf>
    <xf numFmtId="170" fontId="27" fillId="8" borderId="0" xfId="0" applyNumberFormat="1" applyFont="1" applyFill="1" applyAlignment="1">
      <alignment horizontal="left"/>
    </xf>
    <xf numFmtId="170" fontId="27" fillId="0" borderId="0" xfId="0" applyNumberFormat="1" applyFont="1" applyAlignment="1">
      <alignment horizontal="left"/>
    </xf>
    <xf numFmtId="0" fontId="27" fillId="7" borderId="0" xfId="0" applyFont="1" applyFill="1" applyAlignment="1">
      <alignment horizontal="left" indent="7"/>
    </xf>
    <xf numFmtId="170" fontId="27" fillId="7" borderId="0" xfId="0" applyNumberFormat="1" applyFont="1" applyFill="1" applyAlignment="1">
      <alignment horizontal="left"/>
    </xf>
    <xf numFmtId="170" fontId="22" fillId="7" borderId="0" xfId="0" applyNumberFormat="1" applyFont="1" applyFill="1" applyAlignment="1">
      <alignment horizontal="right"/>
    </xf>
    <xf numFmtId="170" fontId="21" fillId="8" borderId="0" xfId="0" applyNumberFormat="1" applyFont="1" applyFill="1" applyAlignment="1">
      <alignment horizontal="left"/>
    </xf>
    <xf numFmtId="0" fontId="27" fillId="8" borderId="0" xfId="0" applyFont="1" applyFill="1" applyAlignment="1">
      <alignment horizontal="left" indent="1"/>
    </xf>
    <xf numFmtId="0" fontId="23" fillId="7" borderId="0" xfId="0" applyFont="1" applyFill="1" applyAlignment="1">
      <alignment horizontal="left"/>
    </xf>
    <xf numFmtId="0" fontId="27" fillId="0" borderId="0" xfId="0" applyFont="1"/>
    <xf numFmtId="0" fontId="6" fillId="0" borderId="0" xfId="0" applyFont="1"/>
    <xf numFmtId="0" fontId="28" fillId="0" borderId="0" xfId="0" applyFont="1"/>
    <xf numFmtId="0" fontId="29" fillId="0" borderId="0" xfId="1" applyFont="1"/>
    <xf numFmtId="0" fontId="30" fillId="0" borderId="0" xfId="1" applyFont="1"/>
    <xf numFmtId="0" fontId="30" fillId="0" borderId="0" xfId="0" applyFont="1"/>
    <xf numFmtId="164" fontId="30" fillId="0" borderId="0" xfId="1" applyNumberFormat="1" applyFont="1"/>
    <xf numFmtId="164" fontId="30" fillId="0" borderId="0" xfId="0" applyNumberFormat="1" applyFont="1"/>
    <xf numFmtId="167" fontId="30" fillId="0" borderId="0" xfId="1" applyNumberFormat="1" applyFont="1" applyAlignment="1">
      <alignment vertical="top"/>
    </xf>
    <xf numFmtId="167" fontId="8" fillId="0" borderId="0" xfId="1" applyNumberFormat="1" applyFont="1" applyAlignment="1">
      <alignment vertical="top"/>
    </xf>
    <xf numFmtId="169" fontId="3" fillId="0" borderId="0" xfId="1" applyNumberFormat="1" applyFont="1"/>
    <xf numFmtId="164" fontId="8" fillId="0" borderId="0" xfId="1" applyNumberFormat="1" applyFont="1"/>
    <xf numFmtId="0" fontId="8" fillId="0" borderId="0" xfId="1" applyFont="1" applyAlignment="1">
      <alignment horizontal="right"/>
    </xf>
    <xf numFmtId="3" fontId="8" fillId="0" borderId="0" xfId="1" applyNumberFormat="1" applyFont="1"/>
    <xf numFmtId="0" fontId="1" fillId="0" borderId="0" xfId="1" applyFont="1"/>
    <xf numFmtId="164" fontId="7" fillId="0" borderId="0" xfId="1" applyNumberFormat="1" applyFont="1"/>
    <xf numFmtId="168" fontId="9" fillId="0" borderId="0" xfId="1" applyNumberFormat="1" applyFont="1"/>
    <xf numFmtId="14" fontId="1" fillId="0" borderId="0" xfId="1" applyNumberFormat="1" applyFont="1"/>
    <xf numFmtId="0" fontId="10" fillId="0" borderId="0" xfId="1" applyFont="1"/>
    <xf numFmtId="0" fontId="9" fillId="0" borderId="0" xfId="1" applyFont="1"/>
    <xf numFmtId="166" fontId="10" fillId="0" borderId="0" xfId="1" applyNumberFormat="1" applyFont="1"/>
    <xf numFmtId="1" fontId="9" fillId="0" borderId="0" xfId="1" applyNumberFormat="1" applyFont="1" applyAlignment="1">
      <alignment horizontal="right"/>
    </xf>
    <xf numFmtId="1" fontId="3" fillId="0" borderId="0" xfId="1" applyNumberFormat="1" applyFont="1" applyAlignment="1">
      <alignment horizontal="right"/>
    </xf>
    <xf numFmtId="168" fontId="3" fillId="0" borderId="0" xfId="1" applyNumberFormat="1" applyFont="1" applyAlignment="1">
      <alignment horizontal="right"/>
    </xf>
    <xf numFmtId="169" fontId="8" fillId="0" borderId="0" xfId="1" applyNumberFormat="1" applyFont="1" applyAlignment="1">
      <alignment horizontal="right"/>
    </xf>
    <xf numFmtId="169" fontId="3" fillId="0" borderId="0" xfId="1" applyNumberFormat="1" applyFont="1" applyAlignment="1">
      <alignment horizontal="right"/>
    </xf>
    <xf numFmtId="171" fontId="8" fillId="0" borderId="0" xfId="3" applyNumberFormat="1" applyFont="1" applyFill="1" applyAlignment="1">
      <alignment vertical="top"/>
    </xf>
    <xf numFmtId="171" fontId="8" fillId="0" borderId="0" xfId="3" applyNumberFormat="1" applyFont="1" applyFill="1" applyAlignment="1">
      <alignment horizontal="right" vertical="top" wrapText="1"/>
    </xf>
    <xf numFmtId="171" fontId="8" fillId="0" borderId="0" xfId="3" applyNumberFormat="1" applyFont="1" applyFill="1"/>
    <xf numFmtId="171" fontId="0" fillId="0" borderId="0" xfId="3" applyNumberFormat="1" applyFont="1" applyFill="1"/>
    <xf numFmtId="171" fontId="3" fillId="0" borderId="1" xfId="3" applyNumberFormat="1" applyFont="1" applyFill="1" applyBorder="1"/>
    <xf numFmtId="171" fontId="15" fillId="0" borderId="0" xfId="3" applyNumberFormat="1" applyFont="1" applyFill="1" applyAlignment="1">
      <alignment horizontal="right" vertical="top" wrapText="1"/>
    </xf>
    <xf numFmtId="171" fontId="18" fillId="0" borderId="0" xfId="3" applyNumberFormat="1" applyFont="1" applyFill="1" applyAlignment="1">
      <alignment horizontal="right" vertical="top" wrapText="1"/>
    </xf>
    <xf numFmtId="171" fontId="16" fillId="0" borderId="0" xfId="3" applyNumberFormat="1" applyFont="1" applyFill="1" applyAlignment="1">
      <alignment horizontal="right" vertical="top" wrapText="1"/>
    </xf>
    <xf numFmtId="171" fontId="3" fillId="0" borderId="0" xfId="3" applyNumberFormat="1" applyFont="1" applyFill="1"/>
    <xf numFmtId="171" fontId="9" fillId="0" borderId="0" xfId="3" applyNumberFormat="1" applyFont="1" applyFill="1"/>
    <xf numFmtId="171" fontId="3" fillId="5" borderId="0" xfId="3" applyNumberFormat="1" applyFont="1" applyFill="1"/>
    <xf numFmtId="171" fontId="18" fillId="0" borderId="3" xfId="3" applyNumberFormat="1" applyFont="1" applyFill="1" applyBorder="1" applyAlignment="1">
      <alignment horizontal="right" vertical="top" wrapText="1"/>
    </xf>
    <xf numFmtId="171" fontId="9" fillId="0" borderId="1" xfId="3" applyNumberFormat="1" applyFont="1" applyFill="1" applyBorder="1"/>
    <xf numFmtId="171" fontId="3" fillId="0" borderId="4" xfId="3" applyNumberFormat="1" applyFont="1" applyFill="1" applyBorder="1"/>
    <xf numFmtId="171" fontId="9" fillId="0" borderId="4" xfId="3" applyNumberFormat="1" applyFont="1" applyFill="1" applyBorder="1"/>
    <xf numFmtId="171" fontId="18" fillId="0" borderId="1" xfId="3" applyNumberFormat="1" applyFont="1" applyFill="1" applyBorder="1" applyAlignment="1">
      <alignment horizontal="right" vertical="top" wrapText="1"/>
    </xf>
    <xf numFmtId="171" fontId="8" fillId="0" borderId="1" xfId="3" applyNumberFormat="1" applyFont="1" applyFill="1" applyBorder="1"/>
    <xf numFmtId="37" fontId="18" fillId="0" borderId="0" xfId="3" applyNumberFormat="1" applyFont="1" applyFill="1" applyAlignment="1">
      <alignment horizontal="right" vertical="top" wrapText="1"/>
    </xf>
    <xf numFmtId="37" fontId="8" fillId="0" borderId="0" xfId="3" applyNumberFormat="1" applyFont="1" applyFill="1"/>
    <xf numFmtId="37" fontId="9" fillId="0" borderId="0" xfId="3" applyNumberFormat="1" applyFont="1" applyFill="1"/>
    <xf numFmtId="37" fontId="8" fillId="0" borderId="0" xfId="3" applyNumberFormat="1" applyFont="1" applyFill="1" applyAlignment="1">
      <alignment horizontal="right" vertical="top" wrapText="1"/>
    </xf>
    <xf numFmtId="37" fontId="3" fillId="0" borderId="0" xfId="3" applyNumberFormat="1" applyFont="1" applyFill="1"/>
    <xf numFmtId="37" fontId="15" fillId="0" borderId="0" xfId="3" applyNumberFormat="1" applyFont="1" applyFill="1" applyAlignment="1">
      <alignment horizontal="right" vertical="top" wrapText="1"/>
    </xf>
    <xf numFmtId="37" fontId="3" fillId="0" borderId="4" xfId="3" applyNumberFormat="1" applyFont="1" applyFill="1" applyBorder="1"/>
    <xf numFmtId="37" fontId="18" fillId="0" borderId="3" xfId="3" applyNumberFormat="1" applyFont="1" applyFill="1" applyBorder="1" applyAlignment="1">
      <alignment horizontal="right" vertical="top" wrapText="1"/>
    </xf>
    <xf numFmtId="37" fontId="10" fillId="0" borderId="3" xfId="3" applyNumberFormat="1" applyFont="1" applyFill="1" applyBorder="1" applyAlignment="1">
      <alignment horizontal="right" vertical="top" wrapText="1"/>
    </xf>
    <xf numFmtId="37" fontId="8" fillId="0" borderId="2" xfId="3" applyNumberFormat="1" applyFont="1" applyFill="1" applyBorder="1" applyAlignment="1">
      <alignment horizontal="right" vertical="top" wrapText="1"/>
    </xf>
    <xf numFmtId="37" fontId="9" fillId="0" borderId="2" xfId="3" applyNumberFormat="1" applyFont="1" applyFill="1" applyBorder="1" applyAlignment="1">
      <alignment horizontal="right" vertical="top" wrapText="1"/>
    </xf>
    <xf numFmtId="37" fontId="16" fillId="0" borderId="3" xfId="3" applyNumberFormat="1" applyFont="1" applyFill="1" applyBorder="1" applyAlignment="1">
      <alignment horizontal="right" vertical="top" wrapText="1"/>
    </xf>
    <xf numFmtId="37" fontId="13" fillId="0" borderId="0" xfId="3" applyNumberFormat="1" applyFill="1"/>
    <xf numFmtId="37" fontId="17" fillId="0" borderId="3" xfId="3" applyNumberFormat="1" applyFont="1" applyFill="1" applyBorder="1" applyAlignment="1">
      <alignment horizontal="right" vertical="top" wrapText="1"/>
    </xf>
    <xf numFmtId="37" fontId="3" fillId="0" borderId="0" xfId="3" applyNumberFormat="1" applyFont="1"/>
    <xf numFmtId="37" fontId="13" fillId="0" borderId="0" xfId="3" applyNumberFormat="1"/>
    <xf numFmtId="37" fontId="3" fillId="0" borderId="4" xfId="3" applyNumberFormat="1" applyFont="1" applyBorder="1"/>
    <xf numFmtId="9" fontId="0" fillId="0" borderId="0" xfId="4" applyFont="1"/>
    <xf numFmtId="169" fontId="0" fillId="0" borderId="0" xfId="4" applyNumberFormat="1" applyFont="1"/>
    <xf numFmtId="3" fontId="0" fillId="0" borderId="0" xfId="0" applyNumberFormat="1"/>
    <xf numFmtId="169" fontId="0" fillId="0" borderId="0" xfId="0" applyNumberFormat="1"/>
    <xf numFmtId="0" fontId="0" fillId="0" borderId="2" xfId="0" applyBorder="1"/>
    <xf numFmtId="3" fontId="8" fillId="0" borderId="2" xfId="0" applyNumberFormat="1" applyFont="1" applyBorder="1"/>
    <xf numFmtId="169" fontId="0" fillId="0" borderId="2" xfId="4" applyNumberFormat="1" applyFont="1" applyBorder="1"/>
    <xf numFmtId="37" fontId="8" fillId="0" borderId="0" xfId="0" applyNumberFormat="1" applyFont="1"/>
    <xf numFmtId="37" fontId="8" fillId="0" borderId="2" xfId="0" applyNumberFormat="1" applyFont="1" applyBorder="1"/>
    <xf numFmtId="37" fontId="0" fillId="0" borderId="0" xfId="0" applyNumberFormat="1"/>
    <xf numFmtId="0" fontId="0" fillId="5" borderId="0" xfId="1" applyFont="1" applyFill="1"/>
    <xf numFmtId="168" fontId="3" fillId="5" borderId="0" xfId="1" applyNumberFormat="1" applyFont="1" applyFill="1" applyAlignment="1">
      <alignment horizontal="right"/>
    </xf>
    <xf numFmtId="169" fontId="8" fillId="5" borderId="0" xfId="1" applyNumberFormat="1" applyFont="1" applyFill="1" applyAlignment="1">
      <alignment horizontal="right"/>
    </xf>
    <xf numFmtId="169" fontId="3" fillId="5" borderId="0" xfId="1" applyNumberFormat="1" applyFont="1" applyFill="1" applyAlignment="1">
      <alignment horizontal="right"/>
    </xf>
    <xf numFmtId="169" fontId="13" fillId="0" borderId="0" xfId="4" applyNumberFormat="1" applyFont="1" applyFill="1"/>
    <xf numFmtId="170" fontId="31" fillId="0" borderId="0" xfId="0" applyNumberFormat="1" applyFont="1" applyAlignment="1">
      <alignment horizontal="right"/>
    </xf>
    <xf numFmtId="170" fontId="31" fillId="4" borderId="0" xfId="0" applyNumberFormat="1" applyFont="1" applyFill="1" applyAlignment="1">
      <alignment horizontal="right"/>
    </xf>
    <xf numFmtId="0" fontId="0" fillId="0" borderId="2" xfId="0" applyBorder="1" applyAlignment="1">
      <alignment horizontal="right"/>
    </xf>
  </cellXfs>
  <cellStyles count="5">
    <cellStyle name="Comma" xfId="3" builtinId="3"/>
    <cellStyle name="Normal" xfId="0" builtinId="0"/>
    <cellStyle name="Normal 3" xfId="2" xr:uid="{C0B212F9-2BF5-7C4E-A3E8-51AA62502224}"/>
    <cellStyle name="Normal 4" xfId="1" xr:uid="{CAD43EEE-25FD-1049-8420-FED09AD11D11}"/>
    <cellStyle name="Percent" xfId="4" builtinId="5"/>
  </cellStyles>
  <dxfs count="0"/>
  <tableStyles count="0" defaultTableStyle="TableStyleMedium2" defaultPivotStyle="PivotStyleLight16"/>
  <colors>
    <mruColors>
      <color rgb="FF0000FF"/>
      <color rgb="FFFDFFAF"/>
      <color rgb="FFFF99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/2007%20Monthly%20Forecast/Bank%20FY07%20Rolling%20Forecast%20March%201%20on%203-09-07%20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LICHDFS01/Marketing/EXCEL/BOARD.XLS" TargetMode="External"/><Relationship Id="rId1" Type="http://schemas.openxmlformats.org/officeDocument/2006/relationships/externalLinkPath" Target="/LICHDFS01/Marketing/EXCEL/BOARD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CMC01/DWRiesmeyer$/Documents/MARY/MetalForm/Excel/Saline%20Ops/SALINE%2010%2000.xls" TargetMode="External"/><Relationship Id="rId1" Type="http://schemas.openxmlformats.org/officeDocument/2006/relationships/externalLinkPath" Target="/CMC01/DWRiesmeyer$/Documents/MARY/MetalForm/Excel/Saline%20Ops/SALINE%2010%2000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CMC01/DWRiesmeyer$/Documents/MARY/MetalForm/Excel/Saline%20Ops/SALINE%2012%2000.xls" TargetMode="External"/><Relationship Id="rId1" Type="http://schemas.openxmlformats.org/officeDocument/2006/relationships/externalLinkPath" Target="/CMC01/DWRiesmeyer$/Documents/MARY/MetalForm/Excel/Saline%20Ops/SALINE%2012%2000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CMC01/DWRiesmeyer$/Documents/MARY/MetalForm/Excel/Saline%20Ops/SALINE%2011%2000.xls" TargetMode="External"/><Relationship Id="rId1" Type="http://schemas.openxmlformats.org/officeDocument/2006/relationships/externalLinkPath" Target="/CMC01/DWRiesmeyer$/Documents/MARY/MetalForm/Excel/Saline%20Ops/SALINE%2011%200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 Sheet"/>
      <sheetName val="Cash Flow"/>
      <sheetName val="Rolling 2007 Forecast"/>
      <sheetName val="IncStmt"/>
      <sheetName val="Alum Basis"/>
      <sheetName val="13wk Cash Flow"/>
      <sheetName val="CF Receipts Summary"/>
      <sheetName val="ExtSales"/>
      <sheetName val="Std"/>
      <sheetName val="Pdexp"/>
      <sheetName val="Variance"/>
      <sheetName val="Plan Summary"/>
      <sheetName val="Release"/>
      <sheetName val="Sales Fcst"/>
      <sheetName val="PurchPrice"/>
      <sheetName val="Calendar"/>
      <sheetName val="StdMat"/>
      <sheetName val="Product Line"/>
      <sheetName val="Shutdown Accrual"/>
      <sheetName val="Benefits"/>
      <sheetName val="Fuels &amp; Utilities"/>
      <sheetName val="Manning"/>
      <sheetName val="Cast"/>
      <sheetName val="Scrap$"/>
      <sheetName val="Box"/>
      <sheetName val="UnSales"/>
      <sheetName val="MacSP"/>
      <sheetName val="Selling Basis"/>
      <sheetName val="Per EU"/>
      <sheetName val="Scrap%"/>
      <sheetName val="StdScp"/>
      <sheetName val="Inv"/>
      <sheetName val="Prod"/>
      <sheetName val="ShipWgt"/>
      <sheetName val="GrsWgt"/>
      <sheetName val="StdLbr"/>
      <sheetName val="PP1Lbr"/>
      <sheetName val="PP2Lbr"/>
      <sheetName val="StdOH"/>
      <sheetName val="PP1OH"/>
      <sheetName val="PP2OH"/>
      <sheetName val="Wght Var"/>
      <sheetName val="LaborDetail"/>
      <sheetName val="Risk &amp; Opp"/>
      <sheetName val="Income Statement"/>
      <sheetName val="Borrowing base"/>
      <sheetName val="Liquidity Summary"/>
      <sheetName val="CF Receipts Detail"/>
      <sheetName val="CF Disbursement Summary"/>
      <sheetName val="CF Tooling Detail"/>
      <sheetName val="CF CAPEX"/>
      <sheetName val="CF Aluminum Detail"/>
      <sheetName val="CF Wages Detail"/>
      <sheetName val="CF Med &amp; Dent"/>
      <sheetName val="CF Utilities"/>
      <sheetName val="CF Natural gas"/>
      <sheetName val="Accrued Wages"/>
      <sheetName val="AP Projections"/>
      <sheetName val="AR aging"/>
      <sheetName val="AP Aging"/>
      <sheetName val="Impro"/>
      <sheetName val="Commision"/>
      <sheetName val="Assumptions"/>
      <sheetName val="Sheet1"/>
      <sheetName val="13-Week Cash Flow "/>
      <sheetName val="Road Map"/>
      <sheetName val="Modul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LOSED"/>
      <sheetName val="ARAging"/>
      <sheetName val="BACKSELL"/>
      <sheetName val="PLSUM"/>
      <sheetName val="COSTSUM"/>
      <sheetName val="CF"/>
      <sheetName val="BACKLOG"/>
      <sheetName val="KPI"/>
      <sheetName val="incstmt"/>
    </sheetNames>
    <sheetDataSet>
      <sheetData sheetId="0" refreshError="1">
        <row r="7">
          <cell r="C7" t="str">
            <v>Jan</v>
          </cell>
          <cell r="D7" t="str">
            <v>Feb</v>
          </cell>
          <cell r="E7" t="str">
            <v>Mar</v>
          </cell>
          <cell r="F7" t="str">
            <v>Apr</v>
          </cell>
          <cell r="G7" t="str">
            <v>May</v>
          </cell>
          <cell r="H7" t="str">
            <v>Jun</v>
          </cell>
          <cell r="I7" t="str">
            <v>Jul</v>
          </cell>
          <cell r="J7" t="str">
            <v>Aug</v>
          </cell>
          <cell r="K7" t="str">
            <v>Sep</v>
          </cell>
          <cell r="L7" t="str">
            <v>Oct</v>
          </cell>
          <cell r="M7" t="str">
            <v>Nov</v>
          </cell>
          <cell r="N7" t="str">
            <v>Dec</v>
          </cell>
        </row>
        <row r="10">
          <cell r="C10">
            <v>4172</v>
          </cell>
          <cell r="D10">
            <v>2264</v>
          </cell>
          <cell r="E10">
            <v>4747</v>
          </cell>
          <cell r="F10">
            <v>3823</v>
          </cell>
          <cell r="G10">
            <v>3738</v>
          </cell>
          <cell r="H10">
            <v>3911</v>
          </cell>
        </row>
        <row r="11">
          <cell r="C11">
            <v>3593</v>
          </cell>
          <cell r="D11">
            <v>1810</v>
          </cell>
          <cell r="E11">
            <v>4108</v>
          </cell>
          <cell r="F11">
            <v>3863</v>
          </cell>
          <cell r="G11">
            <v>3262</v>
          </cell>
          <cell r="H11">
            <v>3340</v>
          </cell>
        </row>
        <row r="12">
          <cell r="C12">
            <v>579</v>
          </cell>
          <cell r="D12">
            <v>454</v>
          </cell>
          <cell r="E12">
            <v>639</v>
          </cell>
          <cell r="F12">
            <v>-40</v>
          </cell>
          <cell r="G12">
            <v>476</v>
          </cell>
          <cell r="H12">
            <v>571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C13">
            <v>0.13878235858101631</v>
          </cell>
          <cell r="D13">
            <v>0.20053003533568906</v>
          </cell>
          <cell r="E13">
            <v>0.13461133347377291</v>
          </cell>
          <cell r="F13">
            <v>-1.0462987182840701E-2</v>
          </cell>
          <cell r="G13">
            <v>0.12734082397003746</v>
          </cell>
          <cell r="H13">
            <v>0.14599846586550755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</row>
        <row r="16">
          <cell r="C16">
            <v>13776</v>
          </cell>
          <cell r="D16">
            <v>9037</v>
          </cell>
          <cell r="E16">
            <v>14887</v>
          </cell>
          <cell r="F16">
            <v>27634</v>
          </cell>
          <cell r="G16">
            <v>9753</v>
          </cell>
          <cell r="H16">
            <v>15627</v>
          </cell>
        </row>
        <row r="17">
          <cell r="C17">
            <v>14912</v>
          </cell>
          <cell r="D17">
            <v>10411</v>
          </cell>
          <cell r="E17">
            <v>17377</v>
          </cell>
          <cell r="F17">
            <v>33318</v>
          </cell>
          <cell r="G17">
            <v>10770</v>
          </cell>
          <cell r="H17">
            <v>15663</v>
          </cell>
        </row>
        <row r="18">
          <cell r="C18">
            <v>-1136</v>
          </cell>
          <cell r="D18">
            <v>-1374</v>
          </cell>
          <cell r="E18">
            <v>-2490</v>
          </cell>
          <cell r="F18">
            <v>-5684</v>
          </cell>
          <cell r="G18">
            <v>-1017</v>
          </cell>
          <cell r="H18">
            <v>-36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</row>
        <row r="19">
          <cell r="C19">
            <v>-8.2462253193960514E-2</v>
          </cell>
          <cell r="D19">
            <v>-0.15204160672789643</v>
          </cell>
          <cell r="E19">
            <v>-0.16726002552562638</v>
          </cell>
          <cell r="F19">
            <v>-0.20568864442353621</v>
          </cell>
          <cell r="G19">
            <v>-0.10427560750538296</v>
          </cell>
          <cell r="H19">
            <v>-2.3037051257439049E-3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</row>
        <row r="22">
          <cell r="C22">
            <v>172</v>
          </cell>
          <cell r="D22">
            <v>0</v>
          </cell>
          <cell r="E22">
            <v>97</v>
          </cell>
          <cell r="F22">
            <v>55</v>
          </cell>
          <cell r="G22">
            <v>17927</v>
          </cell>
          <cell r="H22">
            <v>32</v>
          </cell>
        </row>
        <row r="23">
          <cell r="C23">
            <v>414</v>
          </cell>
          <cell r="D23">
            <v>186</v>
          </cell>
          <cell r="E23">
            <v>95</v>
          </cell>
          <cell r="F23">
            <v>40</v>
          </cell>
          <cell r="G23">
            <v>15127</v>
          </cell>
          <cell r="H23">
            <v>26</v>
          </cell>
        </row>
        <row r="24">
          <cell r="C24">
            <v>-242</v>
          </cell>
          <cell r="D24">
            <v>-186</v>
          </cell>
          <cell r="E24">
            <v>2</v>
          </cell>
          <cell r="F24">
            <v>15</v>
          </cell>
          <cell r="G24">
            <v>2800</v>
          </cell>
          <cell r="H24">
            <v>6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8">
          <cell r="C28">
            <v>18120</v>
          </cell>
          <cell r="D28">
            <v>11301</v>
          </cell>
          <cell r="E28">
            <v>19731</v>
          </cell>
          <cell r="F28">
            <v>31512</v>
          </cell>
          <cell r="G28">
            <v>31418</v>
          </cell>
          <cell r="H28">
            <v>19570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C29">
            <v>18919</v>
          </cell>
          <cell r="D29">
            <v>12407</v>
          </cell>
          <cell r="E29">
            <v>21580</v>
          </cell>
          <cell r="F29">
            <v>37221</v>
          </cell>
          <cell r="G29">
            <v>29159</v>
          </cell>
          <cell r="H29">
            <v>19029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C30">
            <v>-799</v>
          </cell>
          <cell r="D30">
            <v>-1106</v>
          </cell>
          <cell r="E30">
            <v>-1849</v>
          </cell>
          <cell r="F30">
            <v>-5709</v>
          </cell>
          <cell r="G30">
            <v>2259</v>
          </cell>
          <cell r="H30">
            <v>541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C31">
            <v>-4.4094922737306842E-2</v>
          </cell>
          <cell r="D31">
            <v>-9.7867445358817806E-2</v>
          </cell>
          <cell r="E31">
            <v>-9.3710404946530837E-2</v>
          </cell>
          <cell r="F31">
            <v>-0.18116907844630617</v>
          </cell>
          <cell r="G31">
            <v>7.1901457763065765E-2</v>
          </cell>
          <cell r="H31">
            <v>2.7644353602452734E-2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</row>
        <row r="37">
          <cell r="B37" t="str">
            <v>PYTD</v>
          </cell>
          <cell r="C37" t="str">
            <v>Jan</v>
          </cell>
          <cell r="D37" t="str">
            <v>Feb</v>
          </cell>
          <cell r="E37" t="str">
            <v>Mar</v>
          </cell>
          <cell r="F37" t="str">
            <v>Apr</v>
          </cell>
          <cell r="G37" t="str">
            <v>May</v>
          </cell>
        </row>
        <row r="38">
          <cell r="B38">
            <v>90721</v>
          </cell>
          <cell r="C38">
            <v>6561</v>
          </cell>
          <cell r="D38">
            <v>6032</v>
          </cell>
          <cell r="E38">
            <v>10322</v>
          </cell>
          <cell r="F38">
            <v>12323</v>
          </cell>
          <cell r="G38">
            <v>2807</v>
          </cell>
        </row>
        <row r="39">
          <cell r="B39">
            <v>114920</v>
          </cell>
          <cell r="C39">
            <v>7828</v>
          </cell>
          <cell r="D39">
            <v>7602</v>
          </cell>
          <cell r="E39">
            <v>13088</v>
          </cell>
          <cell r="F39">
            <v>16260</v>
          </cell>
          <cell r="G39">
            <v>4424</v>
          </cell>
        </row>
        <row r="40">
          <cell r="B40">
            <v>-24199</v>
          </cell>
          <cell r="C40">
            <v>-1267</v>
          </cell>
          <cell r="D40">
            <v>-1570</v>
          </cell>
          <cell r="E40">
            <v>-2766</v>
          </cell>
          <cell r="F40">
            <v>-3937</v>
          </cell>
          <cell r="G40">
            <v>-1617</v>
          </cell>
        </row>
        <row r="41">
          <cell r="C41">
            <v>-0.19311080627953056</v>
          </cell>
          <cell r="D41">
            <v>-0.26027851458885942</v>
          </cell>
          <cell r="E41">
            <v>-0.26797132338694052</v>
          </cell>
          <cell r="F41">
            <v>-0.31948389190943766</v>
          </cell>
          <cell r="G41">
            <v>-0.57605985037406482</v>
          </cell>
          <cell r="H41">
            <v>-0.19908033540708683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</row>
        <row r="45">
          <cell r="C45">
            <v>18120</v>
          </cell>
          <cell r="D45">
            <v>29421</v>
          </cell>
          <cell r="E45">
            <v>49152</v>
          </cell>
          <cell r="F45">
            <v>80664</v>
          </cell>
          <cell r="G45">
            <v>112082</v>
          </cell>
        </row>
        <row r="46">
          <cell r="C46">
            <v>18919</v>
          </cell>
          <cell r="D46">
            <v>31326</v>
          </cell>
          <cell r="E46">
            <v>52906</v>
          </cell>
          <cell r="F46">
            <v>90127</v>
          </cell>
          <cell r="G46">
            <v>119286</v>
          </cell>
        </row>
        <row r="47">
          <cell r="C47">
            <v>-799</v>
          </cell>
          <cell r="D47">
            <v>-1905</v>
          </cell>
          <cell r="E47">
            <v>-3754</v>
          </cell>
          <cell r="F47">
            <v>-9463</v>
          </cell>
          <cell r="G47">
            <v>-7204</v>
          </cell>
        </row>
        <row r="59">
          <cell r="A59" t="str">
            <v>Jan</v>
          </cell>
          <cell r="G59">
            <v>0.13878235858101631</v>
          </cell>
          <cell r="H59">
            <v>-8.2462253193960514E-2</v>
          </cell>
          <cell r="I59">
            <v>-0.19311080627953056</v>
          </cell>
          <cell r="J59">
            <v>-1.4069767441860466</v>
          </cell>
          <cell r="K59">
            <v>-4.4094922737306842E-2</v>
          </cell>
        </row>
        <row r="60">
          <cell r="A60" t="str">
            <v>Feb</v>
          </cell>
          <cell r="G60">
            <v>0.16050341827221876</v>
          </cell>
          <cell r="H60">
            <v>-0.1100249857537369</v>
          </cell>
          <cell r="I60">
            <v>-0.22528388787421583</v>
          </cell>
          <cell r="J60">
            <v>-2.4883720930232558</v>
          </cell>
          <cell r="K60">
            <v>-6.4749668604058327E-2</v>
          </cell>
        </row>
        <row r="61">
          <cell r="A61" t="str">
            <v>Mar</v>
          </cell>
          <cell r="G61">
            <v>0.14951265313422157</v>
          </cell>
          <cell r="H61">
            <v>-0.13262599469496023</v>
          </cell>
          <cell r="I61">
            <v>-0.24451232816932142</v>
          </cell>
          <cell r="J61">
            <v>-1.5836431226765799</v>
          </cell>
          <cell r="K61">
            <v>-7.6375325520833329E-2</v>
          </cell>
        </row>
        <row r="62">
          <cell r="A62" t="str">
            <v>Apr</v>
          </cell>
          <cell r="G62">
            <v>0.10875649740103958</v>
          </cell>
          <cell r="H62">
            <v>-0.16352894358220835</v>
          </cell>
          <cell r="I62">
            <v>-0.27073046143367957</v>
          </cell>
          <cell r="J62">
            <v>-1.2685185185185186</v>
          </cell>
          <cell r="K62">
            <v>-0.11731379549737181</v>
          </cell>
        </row>
        <row r="63">
          <cell r="A63" t="str">
            <v>May</v>
          </cell>
          <cell r="G63">
            <v>0.11246265471617584</v>
          </cell>
          <cell r="H63">
            <v>-0.15583256755496958</v>
          </cell>
          <cell r="I63">
            <v>-0.29325798396635561</v>
          </cell>
          <cell r="J63">
            <v>0.13089693715412853</v>
          </cell>
          <cell r="K63">
            <v>-6.4274370550132937E-2</v>
          </cell>
        </row>
        <row r="64">
          <cell r="A64" t="str">
            <v>Jun</v>
          </cell>
          <cell r="G64">
            <v>0.11825204149194438</v>
          </cell>
          <cell r="H64">
            <v>-0.12938465947924246</v>
          </cell>
          <cell r="I64">
            <v>-0.27793305310416161</v>
          </cell>
          <cell r="J64">
            <v>6.6200453314168836E-2</v>
          </cell>
          <cell r="K64">
            <v>-5.0610700938838758E-2</v>
          </cell>
        </row>
        <row r="65">
          <cell r="A65" t="str">
            <v>Jul</v>
          </cell>
          <cell r="G65">
            <v>0.11825204149194438</v>
          </cell>
          <cell r="H65">
            <v>-0.12938465947924246</v>
          </cell>
          <cell r="I65">
            <v>-0.27793305310416161</v>
          </cell>
          <cell r="J65">
            <v>0.13099600721982169</v>
          </cell>
          <cell r="K65">
            <v>-5.0610700938838758E-2</v>
          </cell>
        </row>
        <row r="66">
          <cell r="A66" t="str">
            <v>Aug</v>
          </cell>
        </row>
        <row r="67">
          <cell r="A67" t="str">
            <v>Sep</v>
          </cell>
        </row>
        <row r="68">
          <cell r="A68" t="str">
            <v>Oct</v>
          </cell>
        </row>
        <row r="69">
          <cell r="A69" t="str">
            <v>Nov</v>
          </cell>
        </row>
        <row r="70">
          <cell r="A70" t="str">
            <v>Dec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P'S COMP (4)"/>
      <sheetName val="CASHFLOWS Comp. (6)"/>
      <sheetName val="B.S. Comp. (5)"/>
      <sheetName val="OPER. TREND  (1)"/>
      <sheetName val="CASHFLOWS  (3)"/>
      <sheetName val="B.S. MTH  (2)"/>
      <sheetName val="WC GRAPH 7 (L)"/>
      <sheetName val="TOP 10 CUST (L)"/>
      <sheetName val="MISC DATA"/>
      <sheetName val="ratc"/>
      <sheetName val="data sht 8"/>
      <sheetName val="capex"/>
      <sheetName val="cost red 14"/>
      <sheetName val="hd 15"/>
      <sheetName val="accrual "/>
      <sheetName val="Saline &amp; SG&amp;A"/>
      <sheetName val="Milan Op Trend"/>
      <sheetName val="Plymouth Op Trend"/>
      <sheetName val="Flint Op Trend"/>
      <sheetName val="Manbase"/>
      <sheetName val="Income"/>
      <sheetName val="Balance Sheet"/>
      <sheetName val="Cashflow"/>
      <sheetName val="Inc. Tre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P'S COMP (4)"/>
      <sheetName val="CASHFLOWS Comp. (6)"/>
      <sheetName val="B.S. Comp. (5)"/>
      <sheetName val="OPER. TREND  (1)"/>
      <sheetName val="CASHFLOWS  (3)"/>
      <sheetName val="B.S. MTH  (2)"/>
      <sheetName val="WC GRAPH 7 (L)"/>
      <sheetName val="TOP 10 CUST (L)"/>
      <sheetName val="MISC DATA"/>
      <sheetName val="ratc"/>
      <sheetName val="data sht 8"/>
      <sheetName val="capex"/>
      <sheetName val="cost red 14"/>
      <sheetName val="hd 15"/>
      <sheetName val="accrual "/>
      <sheetName val="Saline &amp; SG&amp;A"/>
      <sheetName val="Milan Op Trend"/>
      <sheetName val="Plymouth Op Trend"/>
      <sheetName val="Flint Op Tre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P'S COMP (4)"/>
      <sheetName val="CASHFLOWS Comp. (6)"/>
      <sheetName val="B.S. Comp. (5)"/>
      <sheetName val="OPER. TREND  (1)"/>
      <sheetName val="CASHFLOWS  (3)"/>
      <sheetName val="B.S. MTH  (2)"/>
      <sheetName val="WC GRAPH 7 (L)"/>
      <sheetName val="TOP 10 CUST (L)"/>
      <sheetName val="MISC DATA"/>
      <sheetName val="ratc"/>
      <sheetName val="data sht 8"/>
      <sheetName val="capex"/>
      <sheetName val="cost red 14"/>
      <sheetName val="hd 15"/>
      <sheetName val="accrual "/>
      <sheetName val="Saline &amp; SG&amp;A"/>
      <sheetName val="Milan Op Trend"/>
      <sheetName val="Plymouth Op Trend"/>
      <sheetName val="Flint Op Tre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Denise Lin" id="{C9A10EC4-9A6B-EF4C-83DB-E1764AE51BC3}" userId="3c1cc6db98f079ae" providerId="Windows Liv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8" dT="2026-05-06T17:58:49.12" personId="{C9A10EC4-9A6B-EF4C-83DB-E1764AE51BC3}" id="{09455F18-F71D-3543-821D-9A796B21C42A}">
    <text>Street consensus COGS decrease is too drastic to be justified (77%), so hardcoded 85% as a slight margin improvement that is more defensible</text>
  </threadedComment>
  <threadedComment ref="C82" dT="2026-05-01T17:01:48.17" personId="{C9A10EC4-9A6B-EF4C-83DB-E1764AE51BC3}" id="{10ADCC74-EC3C-B54F-84A6-11F19080DE07}">
    <text>Negative income in 2022 - find out why</text>
  </threadedComment>
  <threadedComment ref="B84" dT="2026-05-01T16:19:14.45" personId="{C9A10EC4-9A6B-EF4C-83DB-E1764AE51BC3}" id="{07CB70DC-703F-BE4C-BF10-0685BD40999B}">
    <text>updated from "Other Non-Cash Items"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18" dT="2026-05-06T17:58:49.12" personId="{C9A10EC4-9A6B-EF4C-83DB-E1764AE51BC3}" id="{A4AE6FA6-1A23-5F4F-A036-9DB93C7A0962}">
    <text>Street consensus COGS decrease is too drastic to be justified (77%), so hardcoded 85% as a slight margin improvement that is more defensible</text>
  </threadedComment>
  <threadedComment ref="C82" dT="2026-05-01T17:01:48.17" personId="{C9A10EC4-9A6B-EF4C-83DB-E1764AE51BC3}" id="{EE32DA8F-02A9-3A42-80E8-43A8B4D39A82}">
    <text>Negative income in 2022 - find out why</text>
  </threadedComment>
  <threadedComment ref="B84" dT="2026-05-01T16:19:14.45" personId="{C9A10EC4-9A6B-EF4C-83DB-E1764AE51BC3}" id="{8BA9B5C4-1615-384B-903C-17943765BD7C}">
    <text>updated from "Other Non-Cash Items"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35745-3963-4E7D-A92E-4A3F78E92B07}">
  <dimension ref="A1:B1"/>
  <sheetViews>
    <sheetView workbookViewId="0"/>
  </sheetViews>
  <sheetFormatPr baseColWidth="10" defaultColWidth="8.83203125" defaultRowHeight="15" x14ac:dyDescent="0.2"/>
  <sheetData>
    <row r="1" spans="1:2" x14ac:dyDescent="0.2">
      <c r="B1" t="s">
        <v>89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D21EB-426A-4D78-B046-4DF3234453D2}">
  <dimension ref="B1:U153"/>
  <sheetViews>
    <sheetView zoomScale="150" zoomScaleNormal="150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G151" sqref="G151"/>
    </sheetView>
  </sheetViews>
  <sheetFormatPr baseColWidth="10" defaultColWidth="8.83203125" defaultRowHeight="15" outlineLevelRow="1" x14ac:dyDescent="0.2"/>
  <cols>
    <col min="1" max="1" width="3.83203125" customWidth="1"/>
    <col min="2" max="2" width="37.5" customWidth="1"/>
    <col min="3" max="4" width="11.1640625" customWidth="1"/>
    <col min="5" max="5" width="11.6640625" customWidth="1"/>
    <col min="6" max="8" width="11" customWidth="1"/>
    <col min="9" max="9" width="11.33203125" customWidth="1"/>
    <col min="10" max="10" width="11.5" customWidth="1"/>
    <col min="11" max="11" width="12.83203125" customWidth="1"/>
  </cols>
  <sheetData>
    <row r="1" spans="2:21" x14ac:dyDescent="0.2">
      <c r="B1" s="91" t="s">
        <v>240</v>
      </c>
    </row>
    <row r="2" spans="2:21" x14ac:dyDescent="0.2">
      <c r="B2" s="5" t="s">
        <v>241</v>
      </c>
      <c r="C2" s="6"/>
      <c r="D2" s="6"/>
      <c r="E2" s="6"/>
      <c r="F2" s="6"/>
      <c r="G2" s="6"/>
      <c r="H2" s="6"/>
      <c r="I2" s="6"/>
      <c r="J2" s="6"/>
      <c r="K2" s="6"/>
    </row>
    <row r="3" spans="2:21" x14ac:dyDescent="0.2">
      <c r="B3" s="25" t="s">
        <v>98</v>
      </c>
      <c r="C3" s="22" t="s">
        <v>90</v>
      </c>
      <c r="D3" s="22" t="s">
        <v>91</v>
      </c>
      <c r="E3" s="22" t="s">
        <v>92</v>
      </c>
      <c r="F3" s="8">
        <f>E3+365</f>
        <v>45992</v>
      </c>
      <c r="G3" s="8">
        <f t="shared" ref="G3:K3" si="0">F3+365</f>
        <v>46357</v>
      </c>
      <c r="H3" s="8">
        <f t="shared" si="0"/>
        <v>46722</v>
      </c>
      <c r="I3" s="109">
        <v>47088</v>
      </c>
      <c r="J3" s="8">
        <f t="shared" si="0"/>
        <v>47453</v>
      </c>
      <c r="K3" s="8">
        <f t="shared" si="0"/>
        <v>47818</v>
      </c>
    </row>
    <row r="4" spans="2:21" x14ac:dyDescent="0.2">
      <c r="B4" s="23" t="s">
        <v>97</v>
      </c>
      <c r="C4" s="9"/>
      <c r="D4" s="9"/>
      <c r="E4" s="9"/>
      <c r="F4" s="9"/>
      <c r="G4" s="9"/>
      <c r="H4" s="9"/>
      <c r="I4" s="9"/>
      <c r="J4" s="9"/>
      <c r="K4" s="9"/>
    </row>
    <row r="5" spans="2:21" x14ac:dyDescent="0.2">
      <c r="B5" s="15" t="s">
        <v>0</v>
      </c>
      <c r="C5" s="10"/>
      <c r="D5" s="10"/>
      <c r="E5" s="10"/>
      <c r="F5" s="10"/>
      <c r="G5" s="10"/>
      <c r="H5" s="10"/>
      <c r="I5" s="10"/>
      <c r="J5" s="10"/>
      <c r="K5" s="10"/>
    </row>
    <row r="6" spans="2:21" hidden="1" outlineLevel="1" x14ac:dyDescent="0.2">
      <c r="B6" s="26"/>
      <c r="C6" s="6"/>
      <c r="D6" s="6"/>
      <c r="E6" s="6"/>
      <c r="F6" s="6"/>
      <c r="G6" s="6"/>
      <c r="H6" s="6"/>
      <c r="I6" s="6"/>
      <c r="J6" s="6"/>
      <c r="K6" s="6"/>
    </row>
    <row r="7" spans="2:21" s="94" customFormat="1" hidden="1" outlineLevel="1" x14ac:dyDescent="0.2">
      <c r="B7" s="92"/>
      <c r="C7" s="93"/>
      <c r="D7" s="93"/>
      <c r="E7" s="93"/>
      <c r="F7" s="93"/>
      <c r="G7" s="93"/>
      <c r="H7" s="93"/>
      <c r="I7" s="93"/>
      <c r="J7" s="93"/>
      <c r="K7" s="93"/>
    </row>
    <row r="8" spans="2:21" s="94" customFormat="1" hidden="1" outlineLevel="1" x14ac:dyDescent="0.2">
      <c r="B8" s="93"/>
      <c r="C8" s="93"/>
      <c r="D8" s="93"/>
      <c r="E8" s="93"/>
      <c r="F8" s="95"/>
      <c r="G8" s="95"/>
      <c r="H8" s="95"/>
      <c r="I8" s="95"/>
      <c r="J8" s="95"/>
      <c r="K8" s="95"/>
      <c r="M8" s="96"/>
      <c r="N8" s="96"/>
      <c r="O8" s="96"/>
      <c r="P8" s="96"/>
      <c r="Q8" s="96"/>
      <c r="R8" s="96"/>
      <c r="S8" s="96"/>
      <c r="T8" s="96"/>
      <c r="U8" s="96"/>
    </row>
    <row r="9" spans="2:21" s="94" customFormat="1" hidden="1" outlineLevel="1" x14ac:dyDescent="0.2">
      <c r="B9" s="93"/>
      <c r="C9" s="93"/>
      <c r="D9" s="93"/>
      <c r="E9" s="93"/>
      <c r="F9" s="95"/>
      <c r="G9" s="95"/>
      <c r="H9" s="95"/>
      <c r="I9" s="95"/>
      <c r="J9" s="95"/>
      <c r="K9" s="95"/>
      <c r="M9" s="96"/>
      <c r="N9" s="96"/>
      <c r="O9" s="96"/>
      <c r="P9" s="96"/>
      <c r="Q9" s="96"/>
      <c r="R9" s="96"/>
      <c r="S9" s="96"/>
      <c r="T9" s="96"/>
      <c r="U9" s="96"/>
    </row>
    <row r="10" spans="2:21" s="94" customFormat="1" hidden="1" outlineLevel="1" x14ac:dyDescent="0.2">
      <c r="B10" s="93"/>
      <c r="C10" s="93"/>
      <c r="D10" s="93"/>
      <c r="E10" s="93"/>
      <c r="F10" s="97"/>
      <c r="G10" s="97"/>
      <c r="H10" s="97"/>
      <c r="I10" s="97"/>
      <c r="J10" s="97"/>
      <c r="K10" s="97"/>
      <c r="M10" s="96"/>
      <c r="N10" s="96"/>
      <c r="O10" s="96"/>
      <c r="P10" s="96"/>
      <c r="Q10" s="96"/>
      <c r="R10" s="96"/>
      <c r="S10" s="96"/>
      <c r="T10" s="96"/>
      <c r="U10" s="96"/>
    </row>
    <row r="11" spans="2:21" outlineLevel="1" x14ac:dyDescent="0.2">
      <c r="B11" s="90" t="s">
        <v>1</v>
      </c>
      <c r="C11" s="6"/>
      <c r="D11" s="6"/>
      <c r="E11" s="6"/>
      <c r="F11" s="98"/>
      <c r="G11" s="98"/>
      <c r="H11" s="98"/>
      <c r="I11" s="98"/>
      <c r="J11" s="98"/>
      <c r="K11" s="98"/>
      <c r="M11" s="3"/>
      <c r="N11" s="3"/>
      <c r="O11" s="3"/>
      <c r="P11" s="3"/>
      <c r="Q11" s="3"/>
      <c r="R11" s="3"/>
      <c r="S11" s="3"/>
      <c r="T11" s="3"/>
      <c r="U11" s="3"/>
    </row>
    <row r="12" spans="2:21" outlineLevel="1" x14ac:dyDescent="0.2">
      <c r="B12" t="s">
        <v>2</v>
      </c>
      <c r="C12" s="6"/>
      <c r="D12" s="6"/>
      <c r="E12" s="6"/>
      <c r="F12" s="98"/>
      <c r="G12" s="115">
        <v>192256</v>
      </c>
      <c r="H12" s="115">
        <v>191593</v>
      </c>
      <c r="I12" s="115">
        <v>201535</v>
      </c>
      <c r="J12" s="98" t="e">
        <v>#N/A</v>
      </c>
      <c r="K12" s="98" t="e">
        <v>#N/A</v>
      </c>
      <c r="M12" s="3"/>
      <c r="N12" s="3"/>
      <c r="O12" s="3"/>
      <c r="P12" s="3"/>
      <c r="Q12" s="3"/>
      <c r="R12" s="3"/>
      <c r="S12" s="3"/>
      <c r="T12" s="3"/>
      <c r="U12" s="3"/>
    </row>
    <row r="13" spans="2:21" outlineLevel="1" x14ac:dyDescent="0.2">
      <c r="B13" t="s">
        <v>3</v>
      </c>
      <c r="C13" s="6"/>
      <c r="D13" s="6"/>
      <c r="E13" s="6"/>
      <c r="F13" s="98"/>
      <c r="G13" s="115">
        <v>148573</v>
      </c>
      <c r="H13" s="115">
        <v>149443</v>
      </c>
      <c r="I13" s="115">
        <v>170743</v>
      </c>
      <c r="J13" s="98" t="e">
        <v>#N/A</v>
      </c>
      <c r="K13" s="98" t="e">
        <v>#N/A</v>
      </c>
      <c r="M13" s="3"/>
      <c r="N13" s="3"/>
      <c r="O13" s="3"/>
      <c r="P13" s="3"/>
      <c r="Q13" s="3"/>
      <c r="R13" s="3"/>
      <c r="S13" s="3"/>
      <c r="T13" s="3"/>
      <c r="U13" s="3"/>
    </row>
    <row r="14" spans="2:21" outlineLevel="1" x14ac:dyDescent="0.2">
      <c r="B14" t="s">
        <v>4</v>
      </c>
      <c r="C14" s="6"/>
      <c r="D14" s="6"/>
      <c r="E14" s="6"/>
      <c r="F14" s="98"/>
      <c r="G14" s="115">
        <v>13131</v>
      </c>
      <c r="H14" s="115">
        <v>14638</v>
      </c>
      <c r="I14" s="115">
        <v>17148</v>
      </c>
      <c r="J14" s="98" t="e">
        <v>#N/A</v>
      </c>
      <c r="K14" s="98" t="e">
        <v>#N/A</v>
      </c>
      <c r="M14" s="3"/>
      <c r="N14" s="3"/>
      <c r="O14" s="3"/>
      <c r="P14" s="3"/>
      <c r="Q14" s="3"/>
      <c r="R14" s="3"/>
      <c r="S14" s="3"/>
      <c r="T14" s="3"/>
      <c r="U14" s="3"/>
    </row>
    <row r="15" spans="2:21" x14ac:dyDescent="0.2">
      <c r="B15" s="26"/>
      <c r="C15" s="9"/>
      <c r="D15" s="9"/>
      <c r="E15" s="9"/>
      <c r="F15" s="9"/>
      <c r="G15" s="9"/>
      <c r="H15" s="9"/>
      <c r="I15" s="9"/>
      <c r="J15" s="9"/>
      <c r="K15" s="9"/>
    </row>
    <row r="16" spans="2:21" x14ac:dyDescent="0.2">
      <c r="B16" s="11" t="s">
        <v>239</v>
      </c>
      <c r="C16" s="9"/>
      <c r="D16" s="9"/>
      <c r="E16" s="9"/>
      <c r="F16" s="9"/>
      <c r="G16" s="9"/>
      <c r="H16" s="9"/>
      <c r="I16" s="9"/>
      <c r="J16" s="9"/>
      <c r="K16" s="9"/>
    </row>
    <row r="17" spans="2:11" x14ac:dyDescent="0.2">
      <c r="B17" s="26" t="s">
        <v>5</v>
      </c>
      <c r="C17" s="112"/>
      <c r="D17" s="112">
        <f>D39/C39-1</f>
        <v>0.1147307616872395</v>
      </c>
      <c r="E17" s="112">
        <f>E39/D39-1</f>
        <v>4.9951473117242129E-2</v>
      </c>
      <c r="F17" s="112">
        <f>F39/E39-1</f>
        <v>1.2297829095312185E-2</v>
      </c>
      <c r="G17" s="112">
        <f>G12/F39-1</f>
        <v>2.6641106014407168E-2</v>
      </c>
      <c r="H17" s="112">
        <f t="shared" ref="G17:K21" si="1">G17</f>
        <v>2.6641106014407168E-2</v>
      </c>
      <c r="I17" s="112">
        <f t="shared" si="1"/>
        <v>2.6641106014407168E-2</v>
      </c>
      <c r="J17" s="112">
        <f t="shared" si="1"/>
        <v>2.6641106014407168E-2</v>
      </c>
      <c r="K17" s="112">
        <f t="shared" si="1"/>
        <v>2.6641106014407168E-2</v>
      </c>
    </row>
    <row r="18" spans="2:11" x14ac:dyDescent="0.2">
      <c r="B18" s="26" t="s">
        <v>6</v>
      </c>
      <c r="C18" s="112">
        <f>C40/C39</f>
        <v>0.84121551086000623</v>
      </c>
      <c r="D18" s="112">
        <f t="shared" ref="D18:E18" si="2">D40/D39</f>
        <v>0.86202473452105954</v>
      </c>
      <c r="E18" s="112">
        <f t="shared" si="2"/>
        <v>0.87348101539526035</v>
      </c>
      <c r="F18" s="112">
        <f>F40/F39</f>
        <v>0.8781792841237378</v>
      </c>
      <c r="G18" s="113">
        <v>0.85</v>
      </c>
      <c r="H18" s="114">
        <f t="shared" si="1"/>
        <v>0.85</v>
      </c>
      <c r="I18" s="114">
        <f t="shared" si="1"/>
        <v>0.85</v>
      </c>
      <c r="J18" s="114">
        <f t="shared" si="1"/>
        <v>0.85</v>
      </c>
      <c r="K18" s="114">
        <f t="shared" si="1"/>
        <v>0.85</v>
      </c>
    </row>
    <row r="19" spans="2:11" x14ac:dyDescent="0.2">
      <c r="B19" s="26" t="s">
        <v>7</v>
      </c>
      <c r="C19" s="112">
        <f>C83/C60</f>
        <v>0.10560471016849912</v>
      </c>
      <c r="D19" s="112">
        <f>D83/D60</f>
        <v>0.10186139479683938</v>
      </c>
      <c r="E19" s="112">
        <f>E83/E60</f>
        <v>8.7328639685634757E-2</v>
      </c>
      <c r="F19" s="112">
        <f>F83/F60</f>
        <v>8.7881319905595376E-2</v>
      </c>
      <c r="G19" s="114">
        <f t="shared" si="1"/>
        <v>8.7881319905595376E-2</v>
      </c>
      <c r="H19" s="114">
        <f>G19</f>
        <v>8.7881319905595376E-2</v>
      </c>
      <c r="I19" s="114">
        <f t="shared" si="1"/>
        <v>8.7881319905595376E-2</v>
      </c>
      <c r="J19" s="114">
        <f t="shared" si="1"/>
        <v>8.7881319905595376E-2</v>
      </c>
      <c r="K19" s="114">
        <f t="shared" si="1"/>
        <v>8.7881319905595376E-2</v>
      </c>
    </row>
    <row r="20" spans="2:11" x14ac:dyDescent="0.2">
      <c r="B20" s="26" t="s">
        <v>8</v>
      </c>
      <c r="C20" s="112">
        <f>C42/C39</f>
        <v>6.8886540931436133E-2</v>
      </c>
      <c r="D20" s="112">
        <f t="shared" ref="D20:F20" si="3">D42/D39</f>
        <v>6.0740900500025542E-2</v>
      </c>
      <c r="E20" s="112">
        <f t="shared" si="3"/>
        <v>5.5607810067462377E-2</v>
      </c>
      <c r="F20" s="112">
        <f t="shared" si="3"/>
        <v>5.793332514538066E-2</v>
      </c>
      <c r="G20" s="114">
        <f t="shared" si="1"/>
        <v>5.793332514538066E-2</v>
      </c>
      <c r="H20" s="114">
        <f t="shared" si="1"/>
        <v>5.793332514538066E-2</v>
      </c>
      <c r="I20" s="114">
        <f>H20</f>
        <v>5.793332514538066E-2</v>
      </c>
      <c r="J20" s="114">
        <f t="shared" si="1"/>
        <v>5.793332514538066E-2</v>
      </c>
      <c r="K20" s="114">
        <f t="shared" si="1"/>
        <v>5.793332514538066E-2</v>
      </c>
    </row>
    <row r="21" spans="2:11" x14ac:dyDescent="0.2">
      <c r="B21" s="26" t="s">
        <v>9</v>
      </c>
      <c r="C21" s="112">
        <f>C43/C39</f>
        <v>4.9349285384386647E-2</v>
      </c>
      <c r="D21" s="112">
        <f t="shared" ref="D21:F21" si="4">D43/D39</f>
        <v>4.6540402177182714E-2</v>
      </c>
      <c r="E21" s="112">
        <f t="shared" si="4"/>
        <v>4.3245113302196853E-2</v>
      </c>
      <c r="F21" s="112">
        <f t="shared" si="4"/>
        <v>5.0195709868796956E-2</v>
      </c>
      <c r="G21" s="114">
        <f t="shared" si="1"/>
        <v>5.0195709868796956E-2</v>
      </c>
      <c r="H21" s="114">
        <f t="shared" si="1"/>
        <v>5.0195709868796956E-2</v>
      </c>
      <c r="I21" s="114">
        <f t="shared" si="1"/>
        <v>5.0195709868796956E-2</v>
      </c>
      <c r="J21" s="114">
        <f t="shared" si="1"/>
        <v>5.0195709868796956E-2</v>
      </c>
      <c r="K21" s="114">
        <f t="shared" si="1"/>
        <v>5.0195709868796956E-2</v>
      </c>
    </row>
    <row r="22" spans="2:11" x14ac:dyDescent="0.2">
      <c r="B22" s="26" t="s">
        <v>10</v>
      </c>
      <c r="C22" s="112">
        <f>C45/(AVERAGE(C66:C66)+AVERAGE(C72:C72))</f>
        <v>8.9625126357902526E-3</v>
      </c>
      <c r="D22" s="112">
        <f>D45/(AVERAGE(C66:D66)+AVERAGE(C72:D72))</f>
        <v>8.9306230515705763E-3</v>
      </c>
      <c r="E22" s="112">
        <f>E45/(AVERAGE(D66:E66)+AVERAGE(D72:E72))</f>
        <v>7.1481461299039324E-3</v>
      </c>
      <c r="F22" s="112">
        <f>F45/(AVERAGE(E66:F66)+AVERAGE(E72:F72))</f>
        <v>7.6791181873851807E-3</v>
      </c>
      <c r="G22" s="114">
        <f t="shared" ref="G22:K23" si="5">F22</f>
        <v>7.6791181873851807E-3</v>
      </c>
      <c r="H22" s="114">
        <f t="shared" si="5"/>
        <v>7.6791181873851807E-3</v>
      </c>
      <c r="I22" s="114">
        <f>G22</f>
        <v>7.6791181873851807E-3</v>
      </c>
      <c r="J22" s="114">
        <f t="shared" si="5"/>
        <v>7.6791181873851807E-3</v>
      </c>
      <c r="K22" s="114">
        <f t="shared" si="5"/>
        <v>7.6791181873851807E-3</v>
      </c>
    </row>
    <row r="23" spans="2:11" x14ac:dyDescent="0.2">
      <c r="B23" s="26" t="s">
        <v>11</v>
      </c>
      <c r="C23" s="112">
        <f>IFERROR(C46/AVERAGE(C55:C55),0)</f>
        <v>-3.3356024506466984E-3</v>
      </c>
      <c r="D23" s="112">
        <f>IFERROR(D46/AVERAGE(C55:D55),0)</f>
        <v>2.1367267719993828E-4</v>
      </c>
      <c r="E23" s="112">
        <f>IFERROR(E46/AVERAGE(D55:E55),0)</f>
        <v>1.986780269743629E-3</v>
      </c>
      <c r="F23" s="112">
        <f>IFERROR(F46/AVERAGE(E55:F55),0)</f>
        <v>0</v>
      </c>
      <c r="G23" s="113">
        <v>0.01</v>
      </c>
      <c r="H23" s="114">
        <f t="shared" si="5"/>
        <v>0.01</v>
      </c>
      <c r="I23" s="114">
        <f>G23</f>
        <v>0.01</v>
      </c>
      <c r="J23" s="114">
        <f t="shared" si="5"/>
        <v>0.01</v>
      </c>
      <c r="K23" s="114">
        <f t="shared" si="5"/>
        <v>0.01</v>
      </c>
    </row>
    <row r="24" spans="2:11" x14ac:dyDescent="0.2">
      <c r="B24" s="26" t="s">
        <v>12</v>
      </c>
      <c r="C24" s="112">
        <f>C48/(C49+C48)</f>
        <v>-0.17269638217069758</v>
      </c>
      <c r="D24" s="112">
        <f t="shared" ref="D24:E24" si="6">D48/(D49+D48)</f>
        <v>-8.7970838396111792E-2</v>
      </c>
      <c r="E24" s="112">
        <f t="shared" si="6"/>
        <v>0.3281058564077432</v>
      </c>
      <c r="F24" s="112">
        <f>F48/(F49+F48)</f>
        <v>-2.8</v>
      </c>
      <c r="G24" s="113">
        <v>0.2</v>
      </c>
      <c r="H24" s="114">
        <f t="shared" ref="H24:K24" si="7">G24</f>
        <v>0.2</v>
      </c>
      <c r="I24" s="114">
        <f>G24</f>
        <v>0.2</v>
      </c>
      <c r="J24" s="114">
        <f t="shared" si="7"/>
        <v>0.2</v>
      </c>
      <c r="K24" s="114">
        <f t="shared" si="7"/>
        <v>0.2</v>
      </c>
    </row>
    <row r="25" spans="2:11" x14ac:dyDescent="0.2">
      <c r="B25" s="26"/>
      <c r="C25" s="9"/>
      <c r="D25" s="9"/>
      <c r="E25" s="9"/>
      <c r="F25" s="9"/>
      <c r="G25" s="12"/>
      <c r="H25" s="9"/>
      <c r="I25" s="9"/>
      <c r="J25" s="9"/>
      <c r="K25" s="9"/>
    </row>
    <row r="26" spans="2:11" x14ac:dyDescent="0.2">
      <c r="B26" s="11" t="s">
        <v>13</v>
      </c>
      <c r="C26" s="9"/>
      <c r="D26" s="9"/>
      <c r="E26" s="9"/>
      <c r="F26" s="9"/>
      <c r="G26" s="9"/>
      <c r="H26" s="9"/>
      <c r="I26" s="9"/>
      <c r="J26" s="9"/>
      <c r="K26" s="9"/>
    </row>
    <row r="27" spans="2:11" x14ac:dyDescent="0.2">
      <c r="B27" s="26"/>
      <c r="C27" s="9"/>
      <c r="D27" s="9"/>
      <c r="E27" s="9"/>
      <c r="F27" s="9"/>
      <c r="G27" s="9"/>
      <c r="H27" s="9"/>
      <c r="I27" s="9"/>
      <c r="J27" s="9"/>
      <c r="K27" s="9"/>
    </row>
    <row r="28" spans="2:11" x14ac:dyDescent="0.2">
      <c r="B28" s="26" t="s">
        <v>14</v>
      </c>
      <c r="C28" s="110">
        <f>AVERAGE(C56:C56)/C39*365</f>
        <v>126.02738252655688</v>
      </c>
      <c r="D28" s="110">
        <f t="shared" ref="D28:F29" si="8">AVERAGE(C56:D56)/D39*365</f>
        <v>121.07970895221663</v>
      </c>
      <c r="E28" s="110">
        <f t="shared" si="8"/>
        <v>127.48718863518422</v>
      </c>
      <c r="F28" s="110">
        <f t="shared" si="8"/>
        <v>128.39622036984628</v>
      </c>
      <c r="G28" s="111">
        <f t="shared" ref="G28:K32" si="9">F28</f>
        <v>128.39622036984628</v>
      </c>
      <c r="H28" s="111">
        <f t="shared" si="9"/>
        <v>128.39622036984628</v>
      </c>
      <c r="I28" s="111">
        <f>G28</f>
        <v>128.39622036984628</v>
      </c>
      <c r="J28" s="111">
        <f t="shared" si="9"/>
        <v>128.39622036984628</v>
      </c>
      <c r="K28" s="111">
        <f t="shared" si="9"/>
        <v>128.39622036984628</v>
      </c>
    </row>
    <row r="29" spans="2:11" x14ac:dyDescent="0.2">
      <c r="B29" s="26" t="s">
        <v>15</v>
      </c>
      <c r="C29" s="110">
        <f>AVERAGE(C57:C57)/C40*365</f>
        <v>38.652226233453668</v>
      </c>
      <c r="D29" s="110">
        <f t="shared" si="8"/>
        <v>35.724728570393928</v>
      </c>
      <c r="E29" s="110">
        <f t="shared" si="8"/>
        <v>34.562588574575926</v>
      </c>
      <c r="F29" s="110">
        <f t="shared" si="8"/>
        <v>33.553881328517392</v>
      </c>
      <c r="G29" s="111">
        <f t="shared" si="9"/>
        <v>33.553881328517392</v>
      </c>
      <c r="H29" s="111">
        <f t="shared" si="9"/>
        <v>33.553881328517392</v>
      </c>
      <c r="I29" s="111">
        <f>G29</f>
        <v>33.553881328517392</v>
      </c>
      <c r="J29" s="111">
        <f t="shared" si="9"/>
        <v>33.553881328517392</v>
      </c>
      <c r="K29" s="111">
        <f t="shared" si="9"/>
        <v>33.553881328517392</v>
      </c>
    </row>
    <row r="30" spans="2:11" x14ac:dyDescent="0.2">
      <c r="B30" s="26" t="s">
        <v>16</v>
      </c>
      <c r="C30" s="110">
        <f>AVERAGE(C67:C67)/C40*365</f>
        <v>70.290500902527072</v>
      </c>
      <c r="D30" s="110">
        <f>AVERAGE(C67:D67)/D40*365</f>
        <v>61.998883994706382</v>
      </c>
      <c r="E30" s="110">
        <f>AVERAGE(D67:E67)/E40*365</f>
        <v>56.606657713801226</v>
      </c>
      <c r="F30" s="110">
        <f>AVERAGE(E67:F67)/F40*365</f>
        <v>55.416727473944078</v>
      </c>
      <c r="G30" s="111">
        <f t="shared" si="9"/>
        <v>55.416727473944078</v>
      </c>
      <c r="H30" s="111">
        <f t="shared" si="9"/>
        <v>55.416727473944078</v>
      </c>
      <c r="I30" s="111">
        <f>G30</f>
        <v>55.416727473944078</v>
      </c>
      <c r="J30" s="111">
        <f t="shared" si="9"/>
        <v>55.416727473944078</v>
      </c>
      <c r="K30" s="111">
        <f t="shared" si="9"/>
        <v>55.416727473944078</v>
      </c>
    </row>
    <row r="31" spans="2:11" x14ac:dyDescent="0.2">
      <c r="B31" s="26" t="s">
        <v>17</v>
      </c>
      <c r="C31" s="12">
        <f>C58/C39</f>
        <v>2.3738271636181883E-2</v>
      </c>
      <c r="D31" s="12">
        <f>D58/D39</f>
        <v>1.8951024740196717E-2</v>
      </c>
      <c r="E31" s="12">
        <f>E58/E39</f>
        <v>2.3065862307559245E-2</v>
      </c>
      <c r="F31" s="12">
        <f>F58/F39</f>
        <v>2.6021669594749743E-2</v>
      </c>
      <c r="G31" s="99">
        <f t="shared" si="9"/>
        <v>2.6021669594749743E-2</v>
      </c>
      <c r="H31" s="99">
        <f t="shared" si="9"/>
        <v>2.6021669594749743E-2</v>
      </c>
      <c r="I31" s="99">
        <f>G31</f>
        <v>2.6021669594749743E-2</v>
      </c>
      <c r="J31" s="99">
        <f t="shared" si="9"/>
        <v>2.6021669594749743E-2</v>
      </c>
      <c r="K31" s="99">
        <f t="shared" si="9"/>
        <v>2.6021669594749743E-2</v>
      </c>
    </row>
    <row r="32" spans="2:11" x14ac:dyDescent="0.2">
      <c r="B32" s="26" t="s">
        <v>18</v>
      </c>
      <c r="C32" s="12">
        <f>C69/C40</f>
        <v>0.15563327316486161</v>
      </c>
      <c r="D32" s="12">
        <f>D69/D40</f>
        <v>0.16716376636972366</v>
      </c>
      <c r="E32" s="12">
        <f>E69/E40</f>
        <v>0.16847889991150278</v>
      </c>
      <c r="F32" s="12">
        <f>F69/F40</f>
        <v>0.18979167426757634</v>
      </c>
      <c r="G32" s="99">
        <f t="shared" si="9"/>
        <v>0.18979167426757634</v>
      </c>
      <c r="H32" s="99">
        <f t="shared" si="9"/>
        <v>0.18979167426757634</v>
      </c>
      <c r="I32" s="99">
        <f>G32</f>
        <v>0.18979167426757634</v>
      </c>
      <c r="J32" s="99">
        <f t="shared" si="9"/>
        <v>0.18979167426757634</v>
      </c>
      <c r="K32" s="99">
        <f t="shared" si="9"/>
        <v>0.18979167426757634</v>
      </c>
    </row>
    <row r="33" spans="2:12" x14ac:dyDescent="0.2">
      <c r="B33" s="26"/>
      <c r="C33" s="9"/>
      <c r="D33" s="9"/>
      <c r="E33" s="9"/>
      <c r="F33" s="9"/>
      <c r="G33" s="9"/>
      <c r="H33" s="9"/>
      <c r="I33" s="9"/>
      <c r="J33" s="9"/>
      <c r="K33" s="13"/>
    </row>
    <row r="34" spans="2:12" x14ac:dyDescent="0.2">
      <c r="B34" s="26" t="s">
        <v>19</v>
      </c>
      <c r="C34" s="100">
        <v>3500</v>
      </c>
      <c r="D34" s="100">
        <v>3500</v>
      </c>
      <c r="E34" s="100">
        <v>3500</v>
      </c>
      <c r="F34" s="100">
        <v>3500</v>
      </c>
      <c r="G34" s="100">
        <v>3500</v>
      </c>
      <c r="H34" s="100">
        <v>3500</v>
      </c>
      <c r="I34" s="100">
        <v>3500</v>
      </c>
      <c r="J34" s="100">
        <v>3500</v>
      </c>
      <c r="K34" s="100">
        <v>3500</v>
      </c>
    </row>
    <row r="35" spans="2:12" x14ac:dyDescent="0.2">
      <c r="B35" s="26" t="s">
        <v>20</v>
      </c>
      <c r="C35" s="101" t="s">
        <v>21</v>
      </c>
      <c r="D35" s="102">
        <v>0</v>
      </c>
      <c r="E35" s="102">
        <v>0</v>
      </c>
      <c r="F35" s="102">
        <v>0</v>
      </c>
      <c r="G35" s="102">
        <v>5553</v>
      </c>
      <c r="H35" s="102">
        <v>1184</v>
      </c>
      <c r="I35" s="102">
        <v>823</v>
      </c>
      <c r="J35" s="102">
        <v>460</v>
      </c>
      <c r="K35" s="102">
        <v>685</v>
      </c>
      <c r="L35" s="4"/>
    </row>
    <row r="36" spans="2:12" x14ac:dyDescent="0.2">
      <c r="B36" s="26" t="s">
        <v>22</v>
      </c>
      <c r="C36" s="12">
        <f>-C94/C39</f>
        <v>4.3440024801179318E-2</v>
      </c>
      <c r="D36" s="12">
        <f>-D94/D39</f>
        <v>4.6744725894058155E-2</v>
      </c>
      <c r="E36" s="12">
        <f>-E94/E39</f>
        <v>4.694257048953468E-2</v>
      </c>
      <c r="F36" s="99">
        <f>E36</f>
        <v>4.694257048953468E-2</v>
      </c>
      <c r="G36" s="99">
        <f t="shared" ref="G36:K36" si="10">F36</f>
        <v>4.694257048953468E-2</v>
      </c>
      <c r="H36" s="99">
        <f t="shared" si="10"/>
        <v>4.694257048953468E-2</v>
      </c>
      <c r="I36" s="99">
        <f>G36</f>
        <v>4.694257048953468E-2</v>
      </c>
      <c r="J36" s="99">
        <f t="shared" si="10"/>
        <v>4.694257048953468E-2</v>
      </c>
      <c r="K36" s="99">
        <f t="shared" si="10"/>
        <v>4.694257048953468E-2</v>
      </c>
    </row>
    <row r="37" spans="2:12" x14ac:dyDescent="0.2">
      <c r="B37" s="26"/>
      <c r="C37" s="6"/>
      <c r="D37" s="6"/>
      <c r="E37" s="6"/>
      <c r="F37" s="6"/>
      <c r="G37" s="6"/>
      <c r="H37" s="6"/>
      <c r="I37" s="6"/>
      <c r="J37" s="6"/>
      <c r="K37" s="14"/>
      <c r="L37" s="149"/>
    </row>
    <row r="38" spans="2:12" x14ac:dyDescent="0.2">
      <c r="B38" s="15" t="s">
        <v>23</v>
      </c>
      <c r="C38" s="10"/>
      <c r="D38" s="10"/>
      <c r="E38" s="10"/>
      <c r="F38" s="10"/>
      <c r="G38" s="10"/>
      <c r="H38" s="10"/>
      <c r="I38" s="10"/>
      <c r="J38" s="10"/>
      <c r="K38" s="10"/>
    </row>
    <row r="39" spans="2:12" x14ac:dyDescent="0.2">
      <c r="B39" s="26" t="s">
        <v>2</v>
      </c>
      <c r="C39" s="116">
        <v>158057</v>
      </c>
      <c r="D39" s="116">
        <v>176191</v>
      </c>
      <c r="E39" s="116">
        <v>184992</v>
      </c>
      <c r="F39" s="117">
        <v>187267</v>
      </c>
      <c r="G39" s="118">
        <f xml:space="preserve"> F39 * (1 + G17)</f>
        <v>192256</v>
      </c>
      <c r="H39" s="118">
        <f xml:space="preserve"> G39 * (1 + H17)</f>
        <v>197377.91247790586</v>
      </c>
      <c r="I39" s="118">
        <f xml:space="preserve"> H39 * (1 + I17)</f>
        <v>202636.27836913214</v>
      </c>
      <c r="J39" s="118">
        <f xml:space="preserve"> I39 * (1 + J17)</f>
        <v>208034.73294352912</v>
      </c>
      <c r="K39" s="118">
        <f t="shared" ref="K39" si="11" xml:space="preserve"> J39 * (1 + K17)</f>
        <v>213577.00831855656</v>
      </c>
    </row>
    <row r="40" spans="2:12" x14ac:dyDescent="0.2">
      <c r="B40" s="26" t="s">
        <v>24</v>
      </c>
      <c r="C40" s="116">
        <v>132960</v>
      </c>
      <c r="D40" s="116">
        <v>151881</v>
      </c>
      <c r="E40" s="116">
        <v>161587</v>
      </c>
      <c r="F40" s="117">
        <v>164454</v>
      </c>
      <c r="G40" s="124">
        <f xml:space="preserve"> G39 * G18</f>
        <v>163417.60000000001</v>
      </c>
      <c r="H40" s="124">
        <f t="shared" ref="H40:K40" si="12" xml:space="preserve"> H39 * H18</f>
        <v>167771.22560621999</v>
      </c>
      <c r="I40" s="124">
        <f t="shared" si="12"/>
        <v>172240.83661376231</v>
      </c>
      <c r="J40" s="124">
        <f t="shared" si="12"/>
        <v>176829.52300199974</v>
      </c>
      <c r="K40" s="124">
        <f t="shared" si="12"/>
        <v>181540.45707077306</v>
      </c>
    </row>
    <row r="41" spans="2:12" x14ac:dyDescent="0.2">
      <c r="B41" s="26" t="s">
        <v>25</v>
      </c>
      <c r="C41" s="119">
        <f>C39-C40</f>
        <v>25097</v>
      </c>
      <c r="D41" s="119">
        <f t="shared" ref="D41:K41" si="13">D39-D40</f>
        <v>24310</v>
      </c>
      <c r="E41" s="119">
        <f t="shared" si="13"/>
        <v>23405</v>
      </c>
      <c r="F41" s="119">
        <f t="shared" si="13"/>
        <v>22813</v>
      </c>
      <c r="G41" s="119">
        <f t="shared" si="13"/>
        <v>28838.399999999994</v>
      </c>
      <c r="H41" s="119">
        <f t="shared" si="13"/>
        <v>29606.686871685873</v>
      </c>
      <c r="I41" s="119">
        <f t="shared" si="13"/>
        <v>30395.441755369829</v>
      </c>
      <c r="J41" s="119">
        <f t="shared" si="13"/>
        <v>31205.209941529378</v>
      </c>
      <c r="K41" s="119">
        <f t="shared" si="13"/>
        <v>32036.5512477835</v>
      </c>
    </row>
    <row r="42" spans="2:12" x14ac:dyDescent="0.2">
      <c r="B42" s="26" t="s">
        <v>26</v>
      </c>
      <c r="C42" s="116">
        <v>10888</v>
      </c>
      <c r="D42" s="116">
        <v>10702</v>
      </c>
      <c r="E42" s="116">
        <v>10287</v>
      </c>
      <c r="F42" s="116">
        <v>10849</v>
      </c>
      <c r="G42" s="118">
        <f>G39 * G20</f>
        <v>11138.029359150303</v>
      </c>
      <c r="H42" s="118">
        <f>H39 * H20</f>
        <v>11434.758780099006</v>
      </c>
      <c r="I42" s="118">
        <f t="shared" ref="I42:K42" si="14">I39 * I20</f>
        <v>11739.393401008798</v>
      </c>
      <c r="J42" s="118">
        <f t="shared" si="14"/>
        <v>12052.143825149906</v>
      </c>
      <c r="K42" s="118">
        <f t="shared" si="14"/>
        <v>12373.226266496607</v>
      </c>
    </row>
    <row r="43" spans="2:12" x14ac:dyDescent="0.2">
      <c r="B43" s="26" t="s">
        <v>27</v>
      </c>
      <c r="C43" s="116">
        <v>7800</v>
      </c>
      <c r="D43" s="116">
        <v>8200</v>
      </c>
      <c r="E43" s="116">
        <v>8000</v>
      </c>
      <c r="F43" s="116">
        <v>9400</v>
      </c>
      <c r="G43" s="120">
        <f t="shared" ref="G43" si="15">G21*G39</f>
        <v>9650.4263965354276</v>
      </c>
      <c r="H43" s="120">
        <f>H21*H39</f>
        <v>9907.5244292497609</v>
      </c>
      <c r="I43" s="120">
        <f>I21*I39</f>
        <v>10171.471837909734</v>
      </c>
      <c r="J43" s="120">
        <f>J21*J39</f>
        <v>10442.451097466044</v>
      </c>
      <c r="K43" s="120">
        <f>K21*K39</f>
        <v>10720.649544203899</v>
      </c>
    </row>
    <row r="44" spans="2:12" x14ac:dyDescent="0.2">
      <c r="B44" s="26" t="s">
        <v>28</v>
      </c>
      <c r="C44" s="119">
        <f t="shared" ref="C44:D44" si="16">C41-C42-C43</f>
        <v>6409</v>
      </c>
      <c r="D44" s="119">
        <f t="shared" si="16"/>
        <v>5408</v>
      </c>
      <c r="E44" s="119">
        <f>E41-E42-E43</f>
        <v>5118</v>
      </c>
      <c r="F44" s="119">
        <f>F41-F42-F43</f>
        <v>2564</v>
      </c>
      <c r="G44" s="119">
        <f>G41-G42-G43</f>
        <v>8049.9442443142634</v>
      </c>
      <c r="H44" s="119">
        <f t="shared" ref="H44:K44" si="17">H41-H42-H43</f>
        <v>8264.4036623371048</v>
      </c>
      <c r="I44" s="119">
        <f t="shared" si="17"/>
        <v>8484.5765164512977</v>
      </c>
      <c r="J44" s="119">
        <f t="shared" si="17"/>
        <v>8710.6150189134278</v>
      </c>
      <c r="K44" s="119">
        <f t="shared" si="17"/>
        <v>8942.6754370829931</v>
      </c>
    </row>
    <row r="45" spans="2:12" x14ac:dyDescent="0.2">
      <c r="B45" s="26" t="s">
        <v>29</v>
      </c>
      <c r="C45" s="121">
        <v>1259</v>
      </c>
      <c r="D45" s="121">
        <v>1302</v>
      </c>
      <c r="E45" s="121">
        <v>1115</v>
      </c>
      <c r="F45" s="121">
        <v>1254</v>
      </c>
      <c r="G45" s="122">
        <f ca="1">G122+G129+G136</f>
        <v>866.64992039191679</v>
      </c>
      <c r="H45" s="122">
        <f t="shared" ref="H45:K45" ca="1" si="18">H122+H129+H136</f>
        <v>908.33030106763852</v>
      </c>
      <c r="I45" s="122">
        <f t="shared" ca="1" si="18"/>
        <v>1055.2648341500576</v>
      </c>
      <c r="J45" s="122">
        <f t="shared" ca="1" si="18"/>
        <v>1064.6446824267732</v>
      </c>
      <c r="K45" s="122">
        <f t="shared" ca="1" si="18"/>
        <v>1072.8110202481714</v>
      </c>
      <c r="L45" s="1"/>
    </row>
    <row r="46" spans="2:12" x14ac:dyDescent="0.2">
      <c r="B46" s="26" t="s">
        <v>30</v>
      </c>
      <c r="C46" s="116">
        <v>-147</v>
      </c>
      <c r="D46" s="116">
        <v>9</v>
      </c>
      <c r="E46" s="116">
        <v>78</v>
      </c>
      <c r="F46" s="116">
        <v>0</v>
      </c>
      <c r="G46" s="120">
        <f ca="1">G144</f>
        <v>32.57811779203017</v>
      </c>
      <c r="H46" s="120">
        <f t="shared" ref="H46:K46" ca="1" si="19">H144</f>
        <v>-142.35688220796987</v>
      </c>
      <c r="I46" s="120">
        <f t="shared" ca="1" si="19"/>
        <v>34.999999999999957</v>
      </c>
      <c r="J46" s="120">
        <f t="shared" ca="1" si="19"/>
        <v>34.999999999999964</v>
      </c>
      <c r="K46" s="120">
        <f t="shared" ca="1" si="19"/>
        <v>34.999999999999972</v>
      </c>
      <c r="L46" s="1"/>
    </row>
    <row r="47" spans="2:12" x14ac:dyDescent="0.2">
      <c r="B47" s="26" t="s">
        <v>31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"/>
    </row>
    <row r="48" spans="2:12" x14ac:dyDescent="0.2">
      <c r="B48" s="26" t="s">
        <v>32</v>
      </c>
      <c r="C48" s="116">
        <v>-864</v>
      </c>
      <c r="D48" s="116">
        <v>-362</v>
      </c>
      <c r="E48" s="116">
        <v>1339</v>
      </c>
      <c r="F48" s="116">
        <v>-3668</v>
      </c>
      <c r="G48" s="120">
        <f ca="1">(G44-G45+G46-G47)*G24</f>
        <v>1443.1744883428755</v>
      </c>
      <c r="H48" s="120">
        <f t="shared" ref="H48:K48" ca="1" si="20">(H44-H45+H46-H47)*H24</f>
        <v>1442.7432958122995</v>
      </c>
      <c r="I48" s="120">
        <f t="shared" ca="1" si="20"/>
        <v>1492.8623364602481</v>
      </c>
      <c r="J48" s="120">
        <f t="shared" ca="1" si="20"/>
        <v>1536.194067297331</v>
      </c>
      <c r="K48" s="120">
        <f t="shared" ca="1" si="20"/>
        <v>1580.9728833669644</v>
      </c>
      <c r="L48" s="1"/>
    </row>
    <row r="49" spans="2:11" x14ac:dyDescent="0.2">
      <c r="B49" s="26" t="s">
        <v>33</v>
      </c>
      <c r="C49" s="119">
        <f t="shared" ref="C49:D49" si="21">C44-C45+C46-C48-C47</f>
        <v>5867</v>
      </c>
      <c r="D49" s="119">
        <f t="shared" si="21"/>
        <v>4477</v>
      </c>
      <c r="E49" s="119">
        <f>E44-E45+E46-E48-E47</f>
        <v>2742</v>
      </c>
      <c r="F49" s="119">
        <f>F44-F45+F46-F48-F47</f>
        <v>4978</v>
      </c>
      <c r="G49" s="119">
        <f ca="1">G44-G45+G46-G48-G47</f>
        <v>5772.6979533715012</v>
      </c>
      <c r="H49" s="119">
        <f t="shared" ref="H49:K49" ca="1" si="22">H44-H45+H46-H48-H47</f>
        <v>5770.973183249198</v>
      </c>
      <c r="I49" s="119">
        <f t="shared" ca="1" si="22"/>
        <v>5971.4493458409925</v>
      </c>
      <c r="J49" s="119">
        <f t="shared" ca="1" si="22"/>
        <v>6144.776269189324</v>
      </c>
      <c r="K49" s="119">
        <f t="shared" ca="1" si="22"/>
        <v>6323.8915334678577</v>
      </c>
    </row>
    <row r="50" spans="2:11" x14ac:dyDescent="0.2">
      <c r="B50" s="26"/>
      <c r="C50" s="117"/>
      <c r="D50" s="117"/>
      <c r="E50" s="123"/>
      <c r="F50" s="124"/>
      <c r="G50" s="124"/>
      <c r="H50" s="124"/>
      <c r="I50" s="124"/>
      <c r="J50" s="124"/>
      <c r="K50" s="124"/>
    </row>
    <row r="51" spans="2:11" ht="14" customHeight="1" x14ac:dyDescent="0.2">
      <c r="B51" s="26" t="s">
        <v>4</v>
      </c>
      <c r="C51" s="123">
        <f>C44+C83</f>
        <v>12902</v>
      </c>
      <c r="D51" s="123">
        <f t="shared" ref="D51:J51" si="23">D44+D83</f>
        <v>11931</v>
      </c>
      <c r="E51" s="123">
        <f t="shared" si="23"/>
        <v>10985</v>
      </c>
      <c r="F51" s="123">
        <f>F44+F83</f>
        <v>8559</v>
      </c>
      <c r="G51" s="123">
        <f>G44+G83</f>
        <v>14044.944244314263</v>
      </c>
      <c r="H51" s="123">
        <f>H44+H83</f>
        <v>14525.68325595828</v>
      </c>
      <c r="I51" s="123">
        <f t="shared" si="23"/>
        <v>15009.864511509371</v>
      </c>
      <c r="J51" s="123">
        <f t="shared" si="23"/>
        <v>15498.402740098438</v>
      </c>
      <c r="K51" s="123">
        <f>K44+K83</f>
        <v>15992.164711821477</v>
      </c>
    </row>
    <row r="52" spans="2:11" x14ac:dyDescent="0.2">
      <c r="B52" s="26" t="s">
        <v>243</v>
      </c>
      <c r="C52" s="163">
        <f>C44/C39</f>
        <v>4.0548662824171029E-2</v>
      </c>
      <c r="D52" s="163">
        <f t="shared" ref="D52:F52" si="24">D44/D39</f>
        <v>3.069396280173221E-2</v>
      </c>
      <c r="E52" s="163">
        <f t="shared" si="24"/>
        <v>2.7666061235080436E-2</v>
      </c>
      <c r="F52" s="163">
        <f t="shared" si="24"/>
        <v>1.3691680862084617E-2</v>
      </c>
      <c r="G52" s="105"/>
      <c r="H52" s="105"/>
      <c r="I52" s="105"/>
      <c r="J52" s="105"/>
      <c r="K52" s="105"/>
    </row>
    <row r="53" spans="2:11" x14ac:dyDescent="0.2">
      <c r="B53" s="15" t="s">
        <v>34</v>
      </c>
      <c r="C53" s="10"/>
      <c r="D53" s="10"/>
      <c r="E53" s="10"/>
      <c r="F53" s="10"/>
      <c r="G53" s="10"/>
      <c r="H53" s="10"/>
      <c r="I53" s="10"/>
      <c r="J53" s="10"/>
      <c r="K53" s="10"/>
    </row>
    <row r="54" spans="2:11" x14ac:dyDescent="0.2">
      <c r="B54" s="5" t="s">
        <v>35</v>
      </c>
      <c r="C54" s="9"/>
      <c r="D54" s="9"/>
      <c r="E54" s="9"/>
      <c r="F54" s="108"/>
      <c r="G54" s="108"/>
      <c r="H54" s="108"/>
      <c r="I54" s="108"/>
      <c r="J54" s="108"/>
      <c r="K54" s="108"/>
    </row>
    <row r="55" spans="2:11" x14ac:dyDescent="0.2">
      <c r="B55" s="26" t="s">
        <v>36</v>
      </c>
      <c r="C55" s="126">
        <v>44070</v>
      </c>
      <c r="D55" s="126">
        <v>40171</v>
      </c>
      <c r="E55" s="126">
        <v>38348</v>
      </c>
      <c r="F55" s="126">
        <v>38487</v>
      </c>
      <c r="G55" s="127">
        <f ca="1">G109</f>
        <v>-31971.376441593966</v>
      </c>
      <c r="H55" s="127">
        <f t="shared" ref="H55:K55" ca="1" si="25">H109</f>
        <v>3499.9999999999927</v>
      </c>
      <c r="I55" s="127">
        <f t="shared" ca="1" si="25"/>
        <v>3499.9999999999982</v>
      </c>
      <c r="J55" s="127">
        <f t="shared" ca="1" si="25"/>
        <v>3499.9999999999945</v>
      </c>
      <c r="K55" s="127">
        <f t="shared" ca="1" si="25"/>
        <v>3500</v>
      </c>
    </row>
    <row r="56" spans="2:11" x14ac:dyDescent="0.2">
      <c r="B56" s="26" t="s">
        <v>37</v>
      </c>
      <c r="C56" s="116">
        <v>54574</v>
      </c>
      <c r="D56" s="116">
        <v>62320</v>
      </c>
      <c r="E56" s="116">
        <v>66908</v>
      </c>
      <c r="F56" s="116">
        <v>64842</v>
      </c>
      <c r="G56" s="124">
        <f>G39/365*G28</f>
        <v>67629.982858699077</v>
      </c>
      <c r="H56" s="124">
        <f t="shared" ref="H56:K56" si="26">H39/365*H28</f>
        <v>69431.720401790226</v>
      </c>
      <c r="I56" s="124">
        <f t="shared" si="26"/>
        <v>71281.458225776994</v>
      </c>
      <c r="J56" s="124">
        <f t="shared" si="26"/>
        <v>73180.475111231455</v>
      </c>
      <c r="K56" s="124">
        <f t="shared" si="26"/>
        <v>75130.083906854459</v>
      </c>
    </row>
    <row r="57" spans="2:11" x14ac:dyDescent="0.2">
      <c r="B57" s="26" t="s">
        <v>38</v>
      </c>
      <c r="C57" s="117">
        <v>14080</v>
      </c>
      <c r="D57" s="117">
        <v>15651</v>
      </c>
      <c r="E57" s="117">
        <v>14951</v>
      </c>
      <c r="F57" s="117">
        <v>15285</v>
      </c>
      <c r="G57" s="124">
        <f>G40/365*G29</f>
        <v>15022.725362715408</v>
      </c>
      <c r="H57" s="124">
        <f t="shared" ref="H57:K57" si="27">H40/365*H29</f>
        <v>15422.947381728833</v>
      </c>
      <c r="I57" s="124">
        <f t="shared" si="27"/>
        <v>15833.831757980093</v>
      </c>
      <c r="J57" s="124">
        <f t="shared" si="27"/>
        <v>16255.662548458729</v>
      </c>
      <c r="K57" s="124">
        <f t="shared" si="27"/>
        <v>16688.731377746644</v>
      </c>
    </row>
    <row r="58" spans="2:11" x14ac:dyDescent="0.2">
      <c r="B58" s="26" t="s">
        <v>39</v>
      </c>
      <c r="C58" s="116">
        <v>3752</v>
      </c>
      <c r="D58" s="116">
        <v>3339</v>
      </c>
      <c r="E58" s="116">
        <v>4267</v>
      </c>
      <c r="F58" s="116">
        <v>4873</v>
      </c>
      <c r="G58" s="124">
        <f>G39*G31</f>
        <v>5002.822109608207</v>
      </c>
      <c r="H58" s="124">
        <f t="shared" ref="H58:K58" si="28">H39*H31</f>
        <v>5136.1028238014987</v>
      </c>
      <c r="I58" s="124">
        <f t="shared" si="28"/>
        <v>5272.9342836312908</v>
      </c>
      <c r="J58" s="124">
        <f t="shared" si="28"/>
        <v>5413.4110848885148</v>
      </c>
      <c r="K58" s="124">
        <f t="shared" si="28"/>
        <v>5557.6303435005966</v>
      </c>
    </row>
    <row r="59" spans="2:11" x14ac:dyDescent="0.2">
      <c r="B59" s="26" t="s">
        <v>40</v>
      </c>
      <c r="C59" s="128">
        <f>SUM(C55:C58)</f>
        <v>116476</v>
      </c>
      <c r="D59" s="128">
        <f>SUM(D55:D58)</f>
        <v>121481</v>
      </c>
      <c r="E59" s="128">
        <f>SUM(E55:E58)</f>
        <v>124474</v>
      </c>
      <c r="F59" s="129">
        <f>SUM(F55:F58)</f>
        <v>123487</v>
      </c>
      <c r="G59" s="129">
        <f t="shared" ref="G59:K59" ca="1" si="29">SUM(G55:G58)</f>
        <v>55684.153889428722</v>
      </c>
      <c r="H59" s="129">
        <f t="shared" ca="1" si="29"/>
        <v>93490.770607320563</v>
      </c>
      <c r="I59" s="129">
        <f t="shared" ca="1" si="29"/>
        <v>95888.224267388374</v>
      </c>
      <c r="J59" s="129">
        <f t="shared" ca="1" si="29"/>
        <v>98349.5487445787</v>
      </c>
      <c r="K59" s="129">
        <f t="shared" ca="1" si="29"/>
        <v>100876.4456281017</v>
      </c>
    </row>
    <row r="60" spans="2:11" x14ac:dyDescent="0.2">
      <c r="B60" s="26" t="s">
        <v>41</v>
      </c>
      <c r="C60" s="126">
        <v>61484</v>
      </c>
      <c r="D60" s="126">
        <v>64038</v>
      </c>
      <c r="E60" s="126">
        <v>67183</v>
      </c>
      <c r="F60" s="130">
        <v>68217</v>
      </c>
      <c r="G60" s="127">
        <f>F60-G94-G83</f>
        <v>71246.990832035983</v>
      </c>
      <c r="H60" s="127">
        <f>G60-H94-H83</f>
        <v>74251.137807986102</v>
      </c>
      <c r="I60" s="127">
        <f>H60-I94-I83</f>
        <v>77238.117594007985</v>
      </c>
      <c r="J60" s="127">
        <f t="shared" ref="J60" si="30">I60-J94-J83</f>
        <v>80216.014988296112</v>
      </c>
      <c r="K60" s="127">
        <f>J60-K94-K83</f>
        <v>83192.379481495402</v>
      </c>
    </row>
    <row r="61" spans="2:11" x14ac:dyDescent="0.2">
      <c r="B61" s="26" t="s">
        <v>42</v>
      </c>
      <c r="C61" s="116">
        <v>53307</v>
      </c>
      <c r="D61" s="116">
        <v>61688</v>
      </c>
      <c r="E61" s="116">
        <v>66815</v>
      </c>
      <c r="F61" s="117">
        <v>64560</v>
      </c>
      <c r="G61" s="124">
        <f t="shared" ref="G61:K63" si="31">F61</f>
        <v>64560</v>
      </c>
      <c r="H61" s="124">
        <f t="shared" si="31"/>
        <v>64560</v>
      </c>
      <c r="I61" s="124">
        <f>H61</f>
        <v>64560</v>
      </c>
      <c r="J61" s="124">
        <f t="shared" si="31"/>
        <v>64560</v>
      </c>
      <c r="K61" s="124">
        <f t="shared" si="31"/>
        <v>64560</v>
      </c>
    </row>
    <row r="62" spans="2:11" x14ac:dyDescent="0.2">
      <c r="B62" s="26" t="s">
        <v>43</v>
      </c>
      <c r="C62" s="116">
        <v>603</v>
      </c>
      <c r="D62" s="116">
        <v>683</v>
      </c>
      <c r="E62" s="116">
        <v>658</v>
      </c>
      <c r="F62" s="117">
        <v>483</v>
      </c>
      <c r="G62" s="124">
        <f t="shared" si="31"/>
        <v>483</v>
      </c>
      <c r="H62" s="124">
        <f t="shared" si="31"/>
        <v>483</v>
      </c>
      <c r="I62" s="124">
        <f t="shared" si="31"/>
        <v>483</v>
      </c>
      <c r="J62" s="124">
        <f t="shared" si="31"/>
        <v>483</v>
      </c>
      <c r="K62" s="124">
        <f t="shared" si="31"/>
        <v>483</v>
      </c>
    </row>
    <row r="63" spans="2:11" x14ac:dyDescent="0.2">
      <c r="B63" s="26" t="s">
        <v>44</v>
      </c>
      <c r="C63" s="116">
        <f>8462+15552</f>
        <v>24014</v>
      </c>
      <c r="D63" s="116">
        <f>8435+16985</f>
        <v>25420</v>
      </c>
      <c r="E63" s="116">
        <f>9691+16375</f>
        <v>26066</v>
      </c>
      <c r="F63" s="117">
        <f>10460+21953</f>
        <v>32413</v>
      </c>
      <c r="G63" s="124">
        <f t="shared" si="31"/>
        <v>32413</v>
      </c>
      <c r="H63" s="124">
        <f t="shared" si="31"/>
        <v>32413</v>
      </c>
      <c r="I63" s="124">
        <f t="shared" si="31"/>
        <v>32413</v>
      </c>
      <c r="J63" s="124">
        <f t="shared" si="31"/>
        <v>32413</v>
      </c>
      <c r="K63" s="124">
        <f t="shared" si="31"/>
        <v>32413</v>
      </c>
    </row>
    <row r="64" spans="2:11" x14ac:dyDescent="0.2">
      <c r="B64" s="26" t="s">
        <v>45</v>
      </c>
      <c r="C64" s="128">
        <f>SUM(C59:C63)</f>
        <v>255884</v>
      </c>
      <c r="D64" s="128">
        <f>SUM(D59:D63)</f>
        <v>273310</v>
      </c>
      <c r="E64" s="128">
        <f>SUM(E59:E63)</f>
        <v>285196</v>
      </c>
      <c r="F64" s="129">
        <f>SUM(F59:F63)</f>
        <v>289160</v>
      </c>
      <c r="G64" s="129">
        <f t="shared" ref="G64:K64" ca="1" si="32">SUM(G59:G63)</f>
        <v>224387.14472146472</v>
      </c>
      <c r="H64" s="129">
        <f t="shared" ca="1" si="32"/>
        <v>265197.90841530665</v>
      </c>
      <c r="I64" s="129">
        <f t="shared" ca="1" si="32"/>
        <v>270582.34186139633</v>
      </c>
      <c r="J64" s="129">
        <f t="shared" ca="1" si="32"/>
        <v>276021.56373287481</v>
      </c>
      <c r="K64" s="129">
        <f t="shared" ca="1" si="32"/>
        <v>281524.82510959712</v>
      </c>
    </row>
    <row r="65" spans="2:11" x14ac:dyDescent="0.2">
      <c r="B65" s="5" t="s">
        <v>46</v>
      </c>
      <c r="C65" s="117"/>
      <c r="D65" s="117"/>
      <c r="E65" s="123"/>
      <c r="F65" s="124"/>
      <c r="G65" s="124"/>
      <c r="H65" s="124"/>
      <c r="I65" s="124"/>
      <c r="J65" s="124"/>
      <c r="K65" s="124"/>
    </row>
    <row r="66" spans="2:11" x14ac:dyDescent="0.2">
      <c r="B66" s="26" t="s">
        <v>47</v>
      </c>
      <c r="C66" s="116">
        <v>50568</v>
      </c>
      <c r="D66" s="116">
        <v>50150</v>
      </c>
      <c r="E66" s="116">
        <v>55507</v>
      </c>
      <c r="F66" s="117">
        <v>57869</v>
      </c>
      <c r="G66" s="124">
        <f ca="1">G120+G127</f>
        <v>1184</v>
      </c>
      <c r="H66" s="124">
        <f t="shared" ref="H66:J66" ca="1" si="33">H120+H127</f>
        <v>38974.512223836333</v>
      </c>
      <c r="I66" s="124">
        <f t="shared" ca="1" si="33"/>
        <v>40735.595298818218</v>
      </c>
      <c r="J66" s="124">
        <f t="shared" ca="1" si="33"/>
        <v>42562.46154375287</v>
      </c>
      <c r="K66" s="124">
        <f ca="1">K120+K127</f>
        <v>43547.489981807565</v>
      </c>
    </row>
    <row r="67" spans="2:11" x14ac:dyDescent="0.2">
      <c r="B67" s="26" t="s">
        <v>48</v>
      </c>
      <c r="C67" s="116">
        <v>25605</v>
      </c>
      <c r="D67" s="116">
        <v>25992</v>
      </c>
      <c r="E67" s="116">
        <v>24128</v>
      </c>
      <c r="F67" s="117">
        <v>25809</v>
      </c>
      <c r="G67" s="124">
        <f>G30*G40/365</f>
        <v>24811.146859304121</v>
      </c>
      <c r="H67" s="124">
        <f t="shared" ref="H67:K67" si="34">H30*H40/365</f>
        <v>25472.143253121867</v>
      </c>
      <c r="I67" s="124">
        <f t="shared" si="34"/>
        <v>26150.74932194245</v>
      </c>
      <c r="J67" s="124">
        <f t="shared" si="34"/>
        <v>26847.434206984508</v>
      </c>
      <c r="K67" s="124">
        <f t="shared" si="34"/>
        <v>27562.679547907603</v>
      </c>
    </row>
    <row r="68" spans="2:11" x14ac:dyDescent="0.2">
      <c r="B68" s="26" t="s">
        <v>49</v>
      </c>
      <c r="C68" s="116"/>
      <c r="D68" s="116"/>
      <c r="E68" s="116"/>
      <c r="F68" s="117">
        <f>E68</f>
        <v>0</v>
      </c>
      <c r="G68" s="124">
        <f t="shared" ref="G68:K68" si="35">F68</f>
        <v>0</v>
      </c>
      <c r="H68" s="124">
        <f t="shared" si="35"/>
        <v>0</v>
      </c>
      <c r="I68" s="124">
        <f t="shared" si="35"/>
        <v>0</v>
      </c>
      <c r="J68" s="124">
        <f t="shared" si="35"/>
        <v>0</v>
      </c>
      <c r="K68" s="124">
        <f t="shared" si="35"/>
        <v>0</v>
      </c>
    </row>
    <row r="69" spans="2:11" x14ac:dyDescent="0.2">
      <c r="B69" s="26" t="s">
        <v>50</v>
      </c>
      <c r="C69" s="116">
        <v>20693</v>
      </c>
      <c r="D69" s="116">
        <v>25389</v>
      </c>
      <c r="E69" s="116">
        <v>27224</v>
      </c>
      <c r="F69" s="117">
        <v>31212</v>
      </c>
      <c r="G69" s="124">
        <f>G32*G40</f>
        <v>31015.299908789086</v>
      </c>
      <c r="H69" s="124">
        <f t="shared" ref="H69:K69" si="36">H32*H40</f>
        <v>31841.581801727767</v>
      </c>
      <c r="I69" s="124">
        <f t="shared" si="36"/>
        <v>32689.876758174014</v>
      </c>
      <c r="J69" s="124">
        <f t="shared" si="36"/>
        <v>33560.771230486433</v>
      </c>
      <c r="K69" s="124">
        <f t="shared" si="36"/>
        <v>34454.867294763084</v>
      </c>
    </row>
    <row r="70" spans="2:11" x14ac:dyDescent="0.2">
      <c r="B70" s="26" t="s">
        <v>51</v>
      </c>
      <c r="C70" s="128">
        <f>SUM(C66:C69)</f>
        <v>96866</v>
      </c>
      <c r="D70" s="128">
        <f t="shared" ref="D70:E70" si="37">SUM(D66:D69)</f>
        <v>101531</v>
      </c>
      <c r="E70" s="128">
        <f t="shared" si="37"/>
        <v>106859</v>
      </c>
      <c r="F70" s="129">
        <f>SUM(F66:F69)</f>
        <v>114890</v>
      </c>
      <c r="G70" s="129">
        <f t="shared" ref="G70:K70" ca="1" si="38">SUM(G66:G69)</f>
        <v>57010.446768093207</v>
      </c>
      <c r="H70" s="129">
        <f t="shared" ca="1" si="38"/>
        <v>96288.237278685963</v>
      </c>
      <c r="I70" s="129">
        <f t="shared" ca="1" si="38"/>
        <v>99576.221378934686</v>
      </c>
      <c r="J70" s="129">
        <f t="shared" ca="1" si="38"/>
        <v>102970.6669812238</v>
      </c>
      <c r="K70" s="129">
        <f t="shared" ca="1" si="38"/>
        <v>105565.03682447826</v>
      </c>
    </row>
    <row r="71" spans="2:11" x14ac:dyDescent="0.2">
      <c r="B71" s="26"/>
      <c r="C71" s="123"/>
      <c r="D71" s="123"/>
      <c r="E71" s="123"/>
      <c r="F71" s="124"/>
      <c r="G71" s="124"/>
      <c r="H71" s="124"/>
      <c r="I71" s="124"/>
      <c r="J71" s="124"/>
      <c r="K71" s="124"/>
    </row>
    <row r="72" spans="2:11" x14ac:dyDescent="0.2">
      <c r="B72" s="26" t="s">
        <v>52</v>
      </c>
      <c r="C72" s="116">
        <v>89906</v>
      </c>
      <c r="D72" s="116">
        <v>100957</v>
      </c>
      <c r="E72" s="116">
        <v>105355</v>
      </c>
      <c r="F72" s="117">
        <v>107869</v>
      </c>
      <c r="G72" s="124">
        <f>G134</f>
        <v>98618</v>
      </c>
      <c r="H72" s="124">
        <f>H134</f>
        <v>97795</v>
      </c>
      <c r="I72" s="124">
        <f t="shared" ref="I72:K72" si="39">I134</f>
        <v>97335</v>
      </c>
      <c r="J72" s="124">
        <f t="shared" si="39"/>
        <v>96650</v>
      </c>
      <c r="K72" s="124">
        <f t="shared" si="39"/>
        <v>96650</v>
      </c>
    </row>
    <row r="73" spans="2:11" x14ac:dyDescent="0.2">
      <c r="B73" s="26" t="s">
        <v>53</v>
      </c>
      <c r="C73" s="116">
        <f>10637+1549+13759</f>
        <v>25945</v>
      </c>
      <c r="D73" s="116">
        <f>11585+1005+15434</f>
        <v>28024</v>
      </c>
      <c r="E73" s="116">
        <f>9356+1074+17694</f>
        <v>28124</v>
      </c>
      <c r="F73" s="117">
        <f>8524+1354+20543</f>
        <v>30421</v>
      </c>
      <c r="G73" s="124">
        <f>F73</f>
        <v>30421</v>
      </c>
      <c r="H73" s="124">
        <f t="shared" ref="H73:K73" si="40">G73</f>
        <v>30421</v>
      </c>
      <c r="I73" s="124">
        <f t="shared" si="40"/>
        <v>30421</v>
      </c>
      <c r="J73" s="124">
        <f t="shared" si="40"/>
        <v>30421</v>
      </c>
      <c r="K73" s="124">
        <f t="shared" si="40"/>
        <v>30421</v>
      </c>
    </row>
    <row r="74" spans="2:11" x14ac:dyDescent="0.2">
      <c r="B74" s="26" t="s">
        <v>54</v>
      </c>
      <c r="C74" s="128">
        <f>SUM(C70:C73)</f>
        <v>212717</v>
      </c>
      <c r="D74" s="128">
        <f t="shared" ref="D74:E74" si="41">SUM(D70:D73)</f>
        <v>230512</v>
      </c>
      <c r="E74" s="128">
        <f t="shared" si="41"/>
        <v>240338</v>
      </c>
      <c r="F74" s="129">
        <f>SUM(F70:F73)</f>
        <v>253180</v>
      </c>
      <c r="G74" s="129">
        <f t="shared" ref="G74:K74" ca="1" si="42">SUM(G70:G73)</f>
        <v>186049.44676809321</v>
      </c>
      <c r="H74" s="129">
        <f t="shared" ca="1" si="42"/>
        <v>224504.23727868596</v>
      </c>
      <c r="I74" s="129">
        <f t="shared" ca="1" si="42"/>
        <v>227332.22137893469</v>
      </c>
      <c r="J74" s="129">
        <f t="shared" ca="1" si="42"/>
        <v>230041.6669812238</v>
      </c>
      <c r="K74" s="129">
        <f t="shared" ca="1" si="42"/>
        <v>232636.03682447824</v>
      </c>
    </row>
    <row r="75" spans="2:11" x14ac:dyDescent="0.2">
      <c r="B75" s="26"/>
      <c r="C75" s="123"/>
      <c r="D75" s="123"/>
      <c r="E75" s="123"/>
      <c r="F75" s="124"/>
      <c r="G75" s="124"/>
      <c r="H75" s="124"/>
      <c r="I75" s="124"/>
      <c r="J75" s="124"/>
      <c r="K75" s="124"/>
    </row>
    <row r="76" spans="2:11" x14ac:dyDescent="0.2">
      <c r="B76" s="26" t="s">
        <v>55</v>
      </c>
      <c r="C76" s="126">
        <f>43242-75</f>
        <v>43167</v>
      </c>
      <c r="D76" s="126">
        <f>42773+25</f>
        <v>42798</v>
      </c>
      <c r="E76" s="126">
        <f>44835+23</f>
        <v>44858</v>
      </c>
      <c r="F76" s="131">
        <f>35952+28</f>
        <v>35980</v>
      </c>
      <c r="G76" s="127">
        <f ca="1">F76+G49+G99+G100</f>
        <v>38337.697953371498</v>
      </c>
      <c r="H76" s="127">
        <f ca="1">G76+H49+H99+H100</f>
        <v>40693.671136620695</v>
      </c>
      <c r="I76" s="127">
        <f t="shared" ref="I76:J76" ca="1" si="43">H76+I49+I99+I100</f>
        <v>43250.120482461687</v>
      </c>
      <c r="J76" s="127">
        <f t="shared" ca="1" si="43"/>
        <v>45979.896751651009</v>
      </c>
      <c r="K76" s="127">
        <f ca="1">J76+K49+K99+K100</f>
        <v>48888.78828511887</v>
      </c>
    </row>
    <row r="77" spans="2:11" x14ac:dyDescent="0.2">
      <c r="B77" s="26" t="s">
        <v>56</v>
      </c>
      <c r="C77" s="124">
        <f>C74+C76</f>
        <v>255884</v>
      </c>
      <c r="D77" s="124">
        <f t="shared" ref="D77:E77" si="44">D74+D76</f>
        <v>273310</v>
      </c>
      <c r="E77" s="124">
        <f t="shared" si="44"/>
        <v>285196</v>
      </c>
      <c r="F77" s="124">
        <f>F74+F76</f>
        <v>289160</v>
      </c>
      <c r="G77" s="124">
        <f ca="1">G74+G76</f>
        <v>224387.14472146472</v>
      </c>
      <c r="H77" s="124">
        <f ca="1">H74+H76</f>
        <v>265197.90841530665</v>
      </c>
      <c r="I77" s="124">
        <f t="shared" ref="I77:K77" ca="1" si="45">I74+I76</f>
        <v>270582.34186139639</v>
      </c>
      <c r="J77" s="124">
        <f t="shared" ca="1" si="45"/>
        <v>276021.56373287481</v>
      </c>
      <c r="K77" s="124">
        <f t="shared" ca="1" si="45"/>
        <v>281524.82510959712</v>
      </c>
    </row>
    <row r="78" spans="2:11" x14ac:dyDescent="0.2">
      <c r="B78" s="26" t="s">
        <v>57</v>
      </c>
      <c r="C78" s="7">
        <f>C64-C77</f>
        <v>0</v>
      </c>
      <c r="D78" s="7">
        <f t="shared" ref="D78:K78" si="46">D64-D77</f>
        <v>0</v>
      </c>
      <c r="E78" s="7">
        <f>E64-E77</f>
        <v>0</v>
      </c>
      <c r="F78" s="21">
        <f>F64-F77</f>
        <v>0</v>
      </c>
      <c r="G78" s="7">
        <f t="shared" ca="1" si="46"/>
        <v>0</v>
      </c>
      <c r="H78" s="7">
        <f t="shared" ca="1" si="46"/>
        <v>0</v>
      </c>
      <c r="I78" s="7">
        <f t="shared" ca="1" si="46"/>
        <v>0</v>
      </c>
      <c r="J78" s="7">
        <f t="shared" ca="1" si="46"/>
        <v>0</v>
      </c>
      <c r="K78" s="7">
        <f t="shared" ca="1" si="46"/>
        <v>0</v>
      </c>
    </row>
    <row r="79" spans="2:11" x14ac:dyDescent="0.2">
      <c r="B79" s="26"/>
      <c r="C79" s="6"/>
      <c r="D79" s="6"/>
      <c r="E79" s="108"/>
      <c r="F79" s="108"/>
      <c r="G79" s="108"/>
      <c r="H79" s="108"/>
      <c r="I79" s="108"/>
      <c r="J79" s="108"/>
      <c r="K79" s="108"/>
    </row>
    <row r="80" spans="2:11" x14ac:dyDescent="0.2">
      <c r="B80" s="15" t="s">
        <v>58</v>
      </c>
      <c r="C80" s="10"/>
      <c r="D80" s="10"/>
      <c r="E80" s="10"/>
      <c r="F80" s="10"/>
      <c r="G80" s="10"/>
      <c r="H80" s="10"/>
      <c r="I80" s="10"/>
      <c r="J80" s="10"/>
      <c r="K80" s="10"/>
    </row>
    <row r="81" spans="2:12" x14ac:dyDescent="0.2">
      <c r="B81" s="5" t="s">
        <v>59</v>
      </c>
      <c r="C81" s="9"/>
      <c r="D81" s="9"/>
      <c r="E81" s="9"/>
      <c r="F81" s="108"/>
      <c r="G81" s="108"/>
      <c r="H81" s="108"/>
      <c r="I81" s="108"/>
      <c r="J81" s="108"/>
      <c r="K81" s="108"/>
    </row>
    <row r="82" spans="2:12" x14ac:dyDescent="0.2">
      <c r="B82" s="26" t="s">
        <v>60</v>
      </c>
      <c r="C82" s="132">
        <v>-2152</v>
      </c>
      <c r="D82" s="132">
        <v>4329</v>
      </c>
      <c r="E82" s="132">
        <v>5894</v>
      </c>
      <c r="F82" s="133">
        <v>-8162</v>
      </c>
      <c r="G82" s="134">
        <f ca="1">G49</f>
        <v>5772.6979533715012</v>
      </c>
      <c r="H82" s="134">
        <f t="shared" ref="H82:K82" ca="1" si="47">H49</f>
        <v>5770.973183249198</v>
      </c>
      <c r="I82" s="134">
        <f t="shared" ca="1" si="47"/>
        <v>5971.4493458409925</v>
      </c>
      <c r="J82" s="134">
        <f t="shared" ca="1" si="47"/>
        <v>6144.776269189324</v>
      </c>
      <c r="K82" s="134">
        <f t="shared" ca="1" si="47"/>
        <v>6323.8915334678577</v>
      </c>
    </row>
    <row r="83" spans="2:12" x14ac:dyDescent="0.2">
      <c r="B83" s="26" t="s">
        <v>94</v>
      </c>
      <c r="C83" s="135">
        <v>6493</v>
      </c>
      <c r="D83" s="135">
        <v>6523</v>
      </c>
      <c r="E83" s="135">
        <v>5867</v>
      </c>
      <c r="F83" s="133">
        <v>5995</v>
      </c>
      <c r="G83" s="134">
        <f>G19*F60</f>
        <v>5995</v>
      </c>
      <c r="H83" s="134">
        <f t="shared" ref="H83:K83" si="48">H19*G60</f>
        <v>6261.2795936211751</v>
      </c>
      <c r="I83" s="134">
        <f t="shared" si="48"/>
        <v>6525.2879950580746</v>
      </c>
      <c r="J83" s="134">
        <f t="shared" si="48"/>
        <v>6787.78772118501</v>
      </c>
      <c r="K83" s="134">
        <f t="shared" si="48"/>
        <v>7049.4892747384838</v>
      </c>
    </row>
    <row r="84" spans="2:12" x14ac:dyDescent="0.2">
      <c r="B84" s="26" t="s">
        <v>95</v>
      </c>
      <c r="C84" s="135">
        <f>-1149+11037</f>
        <v>9888</v>
      </c>
      <c r="D84" s="135">
        <f>-1649+3879</f>
        <v>2230</v>
      </c>
      <c r="E84" s="135">
        <f>350+1217</f>
        <v>1567</v>
      </c>
      <c r="F84" s="133">
        <f>-4536+14762</f>
        <v>10226</v>
      </c>
      <c r="G84" s="133">
        <v>0</v>
      </c>
      <c r="H84" s="133">
        <v>0</v>
      </c>
      <c r="I84" s="133">
        <v>0</v>
      </c>
      <c r="J84" s="133">
        <v>0</v>
      </c>
      <c r="K84" s="133">
        <v>0</v>
      </c>
    </row>
    <row r="85" spans="2:12" x14ac:dyDescent="0.2">
      <c r="B85" s="26" t="s">
        <v>61</v>
      </c>
      <c r="C85" s="135">
        <v>-6615</v>
      </c>
      <c r="D85" s="135">
        <v>1836</v>
      </c>
      <c r="E85" s="135">
        <v>2095</v>
      </c>
      <c r="F85" s="133">
        <v>13223</v>
      </c>
      <c r="G85" s="134"/>
      <c r="H85" s="134"/>
      <c r="I85" s="134"/>
      <c r="J85" s="134"/>
      <c r="K85" s="134"/>
    </row>
    <row r="86" spans="2:12" x14ac:dyDescent="0.2">
      <c r="B86" s="27" t="s">
        <v>62</v>
      </c>
      <c r="C86" s="136"/>
      <c r="D86" s="136"/>
      <c r="E86" s="136"/>
      <c r="F86" s="136"/>
      <c r="G86" s="136">
        <f>-(G56-F56)</f>
        <v>-2787.982858699077</v>
      </c>
      <c r="H86" s="136">
        <f t="shared" ref="H86:K88" si="49">-(H56-G56)</f>
        <v>-1801.7375430911488</v>
      </c>
      <c r="I86" s="136">
        <f t="shared" si="49"/>
        <v>-1849.7378239867685</v>
      </c>
      <c r="J86" s="136">
        <f t="shared" si="49"/>
        <v>-1899.0168854544609</v>
      </c>
      <c r="K86" s="136">
        <f t="shared" si="49"/>
        <v>-1949.608795623004</v>
      </c>
    </row>
    <row r="87" spans="2:12" x14ac:dyDescent="0.2">
      <c r="B87" s="27" t="s">
        <v>38</v>
      </c>
      <c r="C87" s="136"/>
      <c r="D87" s="136"/>
      <c r="E87" s="136"/>
      <c r="F87" s="136"/>
      <c r="G87" s="136">
        <f>-(G57-F57)</f>
        <v>262.27463728459225</v>
      </c>
      <c r="H87" s="136">
        <f t="shared" si="49"/>
        <v>-400.22201901342487</v>
      </c>
      <c r="I87" s="136">
        <f t="shared" si="49"/>
        <v>-410.88437625126062</v>
      </c>
      <c r="J87" s="136">
        <f t="shared" si="49"/>
        <v>-421.83079047863612</v>
      </c>
      <c r="K87" s="136">
        <f t="shared" si="49"/>
        <v>-433.06882928791492</v>
      </c>
    </row>
    <row r="88" spans="2:12" x14ac:dyDescent="0.2">
      <c r="B88" s="27" t="s">
        <v>39</v>
      </c>
      <c r="C88" s="137"/>
      <c r="D88" s="137"/>
      <c r="E88" s="137"/>
      <c r="F88" s="136"/>
      <c r="G88" s="136">
        <f>-(G58-F58)</f>
        <v>-129.82210960820703</v>
      </c>
      <c r="H88" s="136">
        <f t="shared" si="49"/>
        <v>-133.28071419329171</v>
      </c>
      <c r="I88" s="136">
        <f t="shared" si="49"/>
        <v>-136.83145982979204</v>
      </c>
      <c r="J88" s="136">
        <f t="shared" si="49"/>
        <v>-140.476801257224</v>
      </c>
      <c r="K88" s="136">
        <f t="shared" si="49"/>
        <v>-144.21925861208183</v>
      </c>
    </row>
    <row r="89" spans="2:12" x14ac:dyDescent="0.2">
      <c r="B89" s="27" t="s">
        <v>48</v>
      </c>
      <c r="C89" s="137"/>
      <c r="D89" s="137"/>
      <c r="E89" s="137"/>
      <c r="F89" s="136"/>
      <c r="G89" s="136">
        <f>G67-F67</f>
        <v>-997.85314069587912</v>
      </c>
      <c r="H89" s="136">
        <f t="shared" ref="H89:K89" si="50">H67-G67</f>
        <v>660.99639381774614</v>
      </c>
      <c r="I89" s="136">
        <f t="shared" si="50"/>
        <v>678.60606882058346</v>
      </c>
      <c r="J89" s="136">
        <f t="shared" si="50"/>
        <v>696.68488504205743</v>
      </c>
      <c r="K89" s="136">
        <f t="shared" si="50"/>
        <v>715.24534092309477</v>
      </c>
    </row>
    <row r="90" spans="2:12" x14ac:dyDescent="0.2">
      <c r="B90" s="27" t="s">
        <v>50</v>
      </c>
      <c r="C90" s="136"/>
      <c r="D90" s="136"/>
      <c r="E90" s="136"/>
      <c r="F90" s="136"/>
      <c r="G90" s="136">
        <f>G69-F69</f>
        <v>-196.70009121091425</v>
      </c>
      <c r="H90" s="136">
        <f t="shared" ref="H90:K90" si="51">H69-G69</f>
        <v>826.28189293868127</v>
      </c>
      <c r="I90" s="136">
        <f t="shared" si="51"/>
        <v>848.29495644624694</v>
      </c>
      <c r="J90" s="136">
        <f t="shared" si="51"/>
        <v>870.89447231241866</v>
      </c>
      <c r="K90" s="136">
        <f t="shared" si="51"/>
        <v>894.0960642766513</v>
      </c>
    </row>
    <row r="91" spans="2:12" x14ac:dyDescent="0.2">
      <c r="B91" s="26"/>
      <c r="C91" s="136"/>
      <c r="D91" s="136"/>
      <c r="E91" s="136"/>
      <c r="F91" s="136"/>
      <c r="G91" s="136"/>
      <c r="H91" s="136"/>
      <c r="I91" s="136"/>
      <c r="J91" s="136"/>
      <c r="K91" s="136"/>
    </row>
    <row r="92" spans="2:12" x14ac:dyDescent="0.2">
      <c r="B92" s="26" t="s">
        <v>63</v>
      </c>
      <c r="C92" s="136">
        <f>SUM(C82:C91)</f>
        <v>7614</v>
      </c>
      <c r="D92" s="136">
        <f>SUM(D82:D91)</f>
        <v>14918</v>
      </c>
      <c r="E92" s="136">
        <f t="shared" ref="E92:J92" si="52">SUM(E82:E91)</f>
        <v>15423</v>
      </c>
      <c r="F92" s="136">
        <f>SUM(F82:F91)</f>
        <v>21282</v>
      </c>
      <c r="G92" s="136">
        <f t="shared" ca="1" si="52"/>
        <v>7917.6143904420169</v>
      </c>
      <c r="H92" s="136">
        <f t="shared" ca="1" si="52"/>
        <v>11184.290787328935</v>
      </c>
      <c r="I92" s="136">
        <f t="shared" ca="1" si="52"/>
        <v>11626.184706098076</v>
      </c>
      <c r="J92" s="136">
        <f t="shared" ca="1" si="52"/>
        <v>12038.818870538489</v>
      </c>
      <c r="K92" s="136">
        <f ca="1">SUM(K82:K91)</f>
        <v>12455.825329883086</v>
      </c>
      <c r="L92" t="s">
        <v>242</v>
      </c>
    </row>
    <row r="93" spans="2:12" x14ac:dyDescent="0.2">
      <c r="B93" s="5" t="s">
        <v>64</v>
      </c>
      <c r="C93" s="136"/>
      <c r="D93" s="136"/>
      <c r="E93" s="136"/>
      <c r="F93" s="136"/>
      <c r="G93" s="136"/>
      <c r="H93" s="136"/>
      <c r="I93" s="136"/>
      <c r="J93" s="136"/>
      <c r="K93" s="136"/>
    </row>
    <row r="94" spans="2:12" x14ac:dyDescent="0.2">
      <c r="B94" s="26" t="s">
        <v>65</v>
      </c>
      <c r="C94" s="135">
        <v>-6866</v>
      </c>
      <c r="D94" s="135">
        <v>-8236</v>
      </c>
      <c r="E94" s="135">
        <v>-8684</v>
      </c>
      <c r="F94" s="133">
        <f>-8815</f>
        <v>-8815</v>
      </c>
      <c r="G94" s="136">
        <f>-G36*G39</f>
        <v>-9024.9908320359791</v>
      </c>
      <c r="H94" s="136">
        <f t="shared" ref="H94:K94" si="53">-H36*H39</f>
        <v>-9265.426569571302</v>
      </c>
      <c r="I94" s="136">
        <f t="shared" si="53"/>
        <v>-9512.267781079956</v>
      </c>
      <c r="J94" s="136">
        <f t="shared" si="53"/>
        <v>-9765.6851154731376</v>
      </c>
      <c r="K94" s="136">
        <f t="shared" si="53"/>
        <v>-10025.853767937775</v>
      </c>
    </row>
    <row r="95" spans="2:12" x14ac:dyDescent="0.2">
      <c r="B95" s="26" t="s">
        <v>96</v>
      </c>
      <c r="C95" s="135">
        <v>1149</v>
      </c>
      <c r="D95" s="135">
        <v>-10769</v>
      </c>
      <c r="E95" s="135">
        <v>-14874</v>
      </c>
      <c r="F95" s="133">
        <v>-10370</v>
      </c>
      <c r="G95" s="133">
        <v>0</v>
      </c>
      <c r="H95" s="133">
        <v>0</v>
      </c>
      <c r="I95" s="133">
        <v>0</v>
      </c>
      <c r="J95" s="133">
        <v>0</v>
      </c>
      <c r="K95" s="133">
        <v>0</v>
      </c>
    </row>
    <row r="96" spans="2:12" ht="16" x14ac:dyDescent="0.2">
      <c r="B96" s="26" t="s">
        <v>66</v>
      </c>
      <c r="C96" s="135">
        <v>921</v>
      </c>
      <c r="D96" s="135">
        <v>1377</v>
      </c>
      <c r="E96" s="135">
        <v>-812</v>
      </c>
      <c r="F96" s="135">
        <v>1136</v>
      </c>
      <c r="G96" s="135" t="s">
        <v>93</v>
      </c>
      <c r="H96" s="135" t="s">
        <v>93</v>
      </c>
      <c r="I96" s="135" t="s">
        <v>93</v>
      </c>
      <c r="J96" s="135" t="s">
        <v>93</v>
      </c>
      <c r="K96" s="135" t="s">
        <v>93</v>
      </c>
    </row>
    <row r="97" spans="2:11" x14ac:dyDescent="0.2">
      <c r="B97" s="26" t="s">
        <v>67</v>
      </c>
      <c r="C97" s="138">
        <f>SUM(C94:C96)</f>
        <v>-4796</v>
      </c>
      <c r="D97" s="138">
        <f t="shared" ref="D97:K97" si="54">SUM(D94:D96)</f>
        <v>-17628</v>
      </c>
      <c r="E97" s="138">
        <f t="shared" si="54"/>
        <v>-24370</v>
      </c>
      <c r="F97" s="138">
        <f t="shared" si="54"/>
        <v>-18049</v>
      </c>
      <c r="G97" s="138">
        <f>SUM(G94:G96)</f>
        <v>-9024.9908320359791</v>
      </c>
      <c r="H97" s="138">
        <f t="shared" si="54"/>
        <v>-9265.426569571302</v>
      </c>
      <c r="I97" s="138">
        <f t="shared" si="54"/>
        <v>-9512.267781079956</v>
      </c>
      <c r="J97" s="138">
        <f t="shared" si="54"/>
        <v>-9765.6851154731376</v>
      </c>
      <c r="K97" s="138">
        <f t="shared" si="54"/>
        <v>-10025.853767937775</v>
      </c>
    </row>
    <row r="98" spans="2:11" x14ac:dyDescent="0.2">
      <c r="B98" s="5" t="s">
        <v>68</v>
      </c>
      <c r="C98" s="136"/>
      <c r="D98" s="136"/>
      <c r="E98" s="136"/>
      <c r="F98" s="136"/>
      <c r="G98" s="136"/>
      <c r="H98" s="136"/>
      <c r="I98" s="136"/>
      <c r="J98" s="136"/>
      <c r="K98" s="136"/>
    </row>
    <row r="99" spans="2:11" x14ac:dyDescent="0.2">
      <c r="B99" s="26" t="s">
        <v>69</v>
      </c>
      <c r="C99" s="139">
        <v>-2009</v>
      </c>
      <c r="D99" s="139">
        <v>-4995</v>
      </c>
      <c r="E99" s="139">
        <v>-3118</v>
      </c>
      <c r="F99" s="139">
        <v>-2989</v>
      </c>
      <c r="G99" s="140">
        <f>F99</f>
        <v>-2989</v>
      </c>
      <c r="H99" s="140">
        <f t="shared" ref="H99:K99" si="55">G99</f>
        <v>-2989</v>
      </c>
      <c r="I99" s="140">
        <f t="shared" si="55"/>
        <v>-2989</v>
      </c>
      <c r="J99" s="140">
        <f t="shared" si="55"/>
        <v>-2989</v>
      </c>
      <c r="K99" s="140">
        <f t="shared" si="55"/>
        <v>-2989</v>
      </c>
    </row>
    <row r="100" spans="2:11" x14ac:dyDescent="0.2">
      <c r="B100" s="26" t="s">
        <v>70</v>
      </c>
      <c r="C100" s="135">
        <v>-484</v>
      </c>
      <c r="D100" s="135">
        <v>-335</v>
      </c>
      <c r="E100" s="141">
        <v>-426</v>
      </c>
      <c r="F100" s="141">
        <v>-426</v>
      </c>
      <c r="G100" s="142">
        <f>F100</f>
        <v>-426</v>
      </c>
      <c r="H100" s="142">
        <f t="shared" ref="H100:K100" si="56">G100</f>
        <v>-426</v>
      </c>
      <c r="I100" s="142">
        <f t="shared" si="56"/>
        <v>-426</v>
      </c>
      <c r="J100" s="142">
        <f t="shared" si="56"/>
        <v>-426</v>
      </c>
      <c r="K100" s="142">
        <f t="shared" si="56"/>
        <v>-426</v>
      </c>
    </row>
    <row r="101" spans="2:11" x14ac:dyDescent="0.2">
      <c r="B101" s="26" t="s">
        <v>71</v>
      </c>
      <c r="C101" s="139">
        <v>5275</v>
      </c>
      <c r="D101" s="139">
        <v>8155</v>
      </c>
      <c r="E101" s="132">
        <v>11356</v>
      </c>
      <c r="F101" s="133">
        <v>39</v>
      </c>
      <c r="G101" s="136">
        <f ca="1">G66-F66+G72-F72</f>
        <v>-65936</v>
      </c>
      <c r="H101" s="136">
        <f t="shared" ref="H101:J101" ca="1" si="57">H66-G66+H72-G72</f>
        <v>36967.512223836326</v>
      </c>
      <c r="I101" s="136">
        <f t="shared" ca="1" si="57"/>
        <v>1301.0830749818851</v>
      </c>
      <c r="J101" s="136">
        <f t="shared" ca="1" si="57"/>
        <v>1141.8662449346448</v>
      </c>
      <c r="K101" s="136">
        <f ca="1">K66-J66+K72-J72</f>
        <v>985.02843805469456</v>
      </c>
    </row>
    <row r="102" spans="2:11" x14ac:dyDescent="0.2">
      <c r="B102" s="26" t="s">
        <v>72</v>
      </c>
      <c r="C102" s="135">
        <v>-271</v>
      </c>
      <c r="D102" s="135">
        <v>-241</v>
      </c>
      <c r="E102" s="135">
        <v>-327</v>
      </c>
      <c r="F102" s="133">
        <v>-255</v>
      </c>
      <c r="G102" s="133">
        <v>0</v>
      </c>
      <c r="H102" s="133">
        <v>0</v>
      </c>
      <c r="I102" s="133">
        <v>0</v>
      </c>
      <c r="J102" s="133">
        <v>0</v>
      </c>
      <c r="K102" s="133">
        <v>0</v>
      </c>
    </row>
    <row r="103" spans="2:11" x14ac:dyDescent="0.2">
      <c r="B103" s="26" t="s">
        <v>73</v>
      </c>
      <c r="C103" s="143">
        <f>SUM(C99:C102)</f>
        <v>2511</v>
      </c>
      <c r="D103" s="143">
        <f t="shared" ref="D103:K103" si="58">SUM(D99:D102)</f>
        <v>2584</v>
      </c>
      <c r="E103" s="143">
        <f t="shared" si="58"/>
        <v>7485</v>
      </c>
      <c r="F103" s="143">
        <f t="shared" si="58"/>
        <v>-3631</v>
      </c>
      <c r="G103" s="143">
        <f t="shared" ca="1" si="58"/>
        <v>-69351</v>
      </c>
      <c r="H103" s="143">
        <f ca="1">SUM(H99:H102)</f>
        <v>33552.512223836326</v>
      </c>
      <c r="I103" s="143">
        <f t="shared" ca="1" si="58"/>
        <v>-2113.9169250181149</v>
      </c>
      <c r="J103" s="143">
        <f t="shared" ca="1" si="58"/>
        <v>-2273.1337550653552</v>
      </c>
      <c r="K103" s="143">
        <f t="shared" ca="1" si="58"/>
        <v>-2429.9715619453054</v>
      </c>
    </row>
    <row r="104" spans="2:11" x14ac:dyDescent="0.2">
      <c r="B104" s="26"/>
      <c r="C104" s="136"/>
      <c r="D104" s="136"/>
      <c r="E104" s="136"/>
      <c r="F104" s="136"/>
      <c r="G104" s="136"/>
      <c r="H104" s="136"/>
      <c r="I104" s="136"/>
      <c r="J104" s="136"/>
      <c r="K104" s="136"/>
    </row>
    <row r="105" spans="2:11" x14ac:dyDescent="0.2">
      <c r="B105" s="26" t="s">
        <v>74</v>
      </c>
      <c r="C105" s="137"/>
      <c r="D105" s="137">
        <f>D55-C55-D92-D97-D103</f>
        <v>-3773</v>
      </c>
      <c r="E105" s="137">
        <f>E55-D55-E92-E97-E103</f>
        <v>-361</v>
      </c>
      <c r="F105" s="137">
        <f>F55-E55-F92-F97-F103</f>
        <v>537</v>
      </c>
      <c r="G105" s="135">
        <v>0</v>
      </c>
      <c r="H105" s="135">
        <v>0</v>
      </c>
      <c r="I105" s="135">
        <v>0</v>
      </c>
      <c r="J105" s="135">
        <v>0</v>
      </c>
      <c r="K105" s="135">
        <v>0</v>
      </c>
    </row>
    <row r="106" spans="2:11" x14ac:dyDescent="0.2">
      <c r="B106" s="26"/>
      <c r="C106" s="144"/>
      <c r="D106" s="136"/>
      <c r="E106" s="136"/>
      <c r="F106" s="136"/>
      <c r="G106" s="136"/>
      <c r="H106" s="136"/>
      <c r="I106" s="136"/>
      <c r="J106" s="136"/>
      <c r="K106" s="136"/>
    </row>
    <row r="107" spans="2:11" x14ac:dyDescent="0.2">
      <c r="B107" s="26" t="s">
        <v>75</v>
      </c>
      <c r="C107" s="137"/>
      <c r="D107" s="137">
        <f>C109</f>
        <v>44070</v>
      </c>
      <c r="E107" s="137">
        <f t="shared" ref="E107:K107" si="59">D109</f>
        <v>40171</v>
      </c>
      <c r="F107" s="137">
        <f>E109</f>
        <v>38348</v>
      </c>
      <c r="G107" s="137">
        <f t="shared" si="59"/>
        <v>38487</v>
      </c>
      <c r="H107" s="137">
        <f t="shared" ca="1" si="59"/>
        <v>-31971.376441593966</v>
      </c>
      <c r="I107" s="137">
        <f t="shared" ca="1" si="59"/>
        <v>3499.9999999999927</v>
      </c>
      <c r="J107" s="137">
        <f t="shared" ca="1" si="59"/>
        <v>3499.9999999999982</v>
      </c>
      <c r="K107" s="137">
        <f t="shared" ca="1" si="59"/>
        <v>3499.9999999999945</v>
      </c>
    </row>
    <row r="108" spans="2:11" x14ac:dyDescent="0.2">
      <c r="B108" s="26" t="s">
        <v>76</v>
      </c>
      <c r="C108" s="145">
        <f t="shared" ref="C108:K108" si="60">C92+C97+C103+C105</f>
        <v>5329</v>
      </c>
      <c r="D108" s="145">
        <f t="shared" si="60"/>
        <v>-3899</v>
      </c>
      <c r="E108" s="145">
        <f t="shared" si="60"/>
        <v>-1823</v>
      </c>
      <c r="F108" s="145">
        <f t="shared" si="60"/>
        <v>139</v>
      </c>
      <c r="G108" s="145">
        <f t="shared" ca="1" si="60"/>
        <v>-70458.376441593966</v>
      </c>
      <c r="H108" s="145">
        <f t="shared" ca="1" si="60"/>
        <v>35471.376441593959</v>
      </c>
      <c r="I108" s="145">
        <f t="shared" ca="1" si="60"/>
        <v>5.4569682106375694E-12</v>
      </c>
      <c r="J108" s="145">
        <f t="shared" ca="1" si="60"/>
        <v>-3.637978807091713E-12</v>
      </c>
      <c r="K108" s="145">
        <f t="shared" ca="1" si="60"/>
        <v>5.4569682106375694E-12</v>
      </c>
    </row>
    <row r="109" spans="2:11" x14ac:dyDescent="0.2">
      <c r="B109" s="26" t="s">
        <v>238</v>
      </c>
      <c r="C109" s="138">
        <f>C55</f>
        <v>44070</v>
      </c>
      <c r="D109" s="138">
        <f>SUM(D107:D108)</f>
        <v>40171</v>
      </c>
      <c r="E109" s="138">
        <f>SUM(E107:E108)</f>
        <v>38348</v>
      </c>
      <c r="F109" s="138">
        <f>SUM(F107:F108)</f>
        <v>38487</v>
      </c>
      <c r="G109" s="138">
        <f ca="1">SUM(G107:G108)</f>
        <v>-31971.376441593966</v>
      </c>
      <c r="H109" s="138">
        <f t="shared" ref="H109:K109" ca="1" si="61">SUM(H107:H108)</f>
        <v>3499.9999999999927</v>
      </c>
      <c r="I109" s="138">
        <f t="shared" ca="1" si="61"/>
        <v>3499.9999999999982</v>
      </c>
      <c r="J109" s="138">
        <f t="shared" ca="1" si="61"/>
        <v>3499.9999999999945</v>
      </c>
      <c r="K109" s="138">
        <f t="shared" ca="1" si="61"/>
        <v>3500</v>
      </c>
    </row>
    <row r="110" spans="2:11" x14ac:dyDescent="0.2">
      <c r="B110" s="26" t="s">
        <v>57</v>
      </c>
      <c r="C110" s="7">
        <f>C109-C55</f>
        <v>0</v>
      </c>
      <c r="D110" s="7">
        <f>D109-D55</f>
        <v>0</v>
      </c>
      <c r="E110" s="7">
        <f>E109-E55</f>
        <v>0</v>
      </c>
      <c r="F110" s="7">
        <f>F109-F55</f>
        <v>0</v>
      </c>
      <c r="G110" s="7">
        <f t="shared" ref="G110:K110" ca="1" si="62">G109-G55</f>
        <v>0</v>
      </c>
      <c r="H110" s="7">
        <f t="shared" ca="1" si="62"/>
        <v>0</v>
      </c>
      <c r="I110" s="7">
        <f ca="1">I109-I55</f>
        <v>0</v>
      </c>
      <c r="J110" s="7">
        <f t="shared" ca="1" si="62"/>
        <v>0</v>
      </c>
      <c r="K110" s="7">
        <f t="shared" ca="1" si="62"/>
        <v>0</v>
      </c>
    </row>
    <row r="111" spans="2:11" x14ac:dyDescent="0.2">
      <c r="B111" s="26"/>
      <c r="C111" s="6"/>
      <c r="D111" s="6"/>
      <c r="E111" s="6"/>
      <c r="F111" s="6"/>
      <c r="G111" s="6"/>
      <c r="H111" s="6"/>
      <c r="I111" s="6"/>
      <c r="J111" s="6"/>
      <c r="K111" s="6"/>
    </row>
    <row r="112" spans="2:11" x14ac:dyDescent="0.2">
      <c r="B112" s="15" t="s">
        <v>77</v>
      </c>
      <c r="C112" s="15"/>
      <c r="D112" s="15"/>
      <c r="E112" s="16"/>
      <c r="F112" s="16"/>
      <c r="G112" s="16"/>
      <c r="H112" s="16"/>
      <c r="I112" s="16"/>
      <c r="J112" s="16"/>
      <c r="K112" s="16"/>
    </row>
    <row r="113" spans="2:11" x14ac:dyDescent="0.2">
      <c r="B113" s="26"/>
      <c r="C113" s="6"/>
      <c r="D113" s="6"/>
      <c r="E113" s="6"/>
      <c r="F113" s="6"/>
      <c r="G113" s="6"/>
      <c r="H113" s="6"/>
      <c r="I113" s="6"/>
      <c r="J113" s="6"/>
      <c r="K113" s="6"/>
    </row>
    <row r="114" spans="2:11" x14ac:dyDescent="0.2">
      <c r="B114" s="26" t="s">
        <v>19</v>
      </c>
      <c r="C114" s="6"/>
      <c r="D114" s="7"/>
      <c r="E114" s="146"/>
      <c r="F114" s="146">
        <f>F34</f>
        <v>3500</v>
      </c>
      <c r="G114" s="146">
        <f t="shared" ref="G114:K114" si="63">G34</f>
        <v>3500</v>
      </c>
      <c r="H114" s="146">
        <f t="shared" si="63"/>
        <v>3500</v>
      </c>
      <c r="I114" s="146">
        <f t="shared" si="63"/>
        <v>3500</v>
      </c>
      <c r="J114" s="146">
        <f t="shared" si="63"/>
        <v>3500</v>
      </c>
      <c r="K114" s="146">
        <f t="shared" si="63"/>
        <v>3500</v>
      </c>
    </row>
    <row r="115" spans="2:11" x14ac:dyDescent="0.2">
      <c r="B115" s="26" t="s">
        <v>78</v>
      </c>
      <c r="C115" s="6"/>
      <c r="D115" s="6"/>
      <c r="E115" s="146"/>
      <c r="F115" s="146">
        <f>F92+F97+F99+F100+F102+F126+F133+E55-F114+F105</f>
        <v>34948</v>
      </c>
      <c r="G115" s="146">
        <f t="shared" ref="G115:K115" ca="1" si="64">G92+G97+G99+G100+G102+G126+G133+F55-G114+G105</f>
        <v>24911.623558406038</v>
      </c>
      <c r="H115" s="146">
        <f t="shared" ca="1" si="64"/>
        <v>-38151.512223836333</v>
      </c>
      <c r="I115" s="146">
        <f t="shared" ca="1" si="64"/>
        <v>-2124.083074981887</v>
      </c>
      <c r="J115" s="146">
        <f t="shared" ca="1" si="64"/>
        <v>-1601.8662449346502</v>
      </c>
      <c r="K115" s="146">
        <f t="shared" ca="1" si="64"/>
        <v>-1670.0284380546946</v>
      </c>
    </row>
    <row r="116" spans="2:11" x14ac:dyDescent="0.2">
      <c r="B116" s="26"/>
      <c r="C116" s="6"/>
      <c r="D116" s="6"/>
      <c r="E116" s="147"/>
      <c r="F116" s="147"/>
      <c r="G116" s="147"/>
      <c r="H116" s="146"/>
      <c r="I116" s="147"/>
      <c r="J116" s="147"/>
      <c r="K116" s="147"/>
    </row>
    <row r="117" spans="2:11" x14ac:dyDescent="0.2">
      <c r="B117" s="20" t="s">
        <v>79</v>
      </c>
      <c r="C117" s="9"/>
      <c r="D117" s="9"/>
      <c r="E117" s="146"/>
      <c r="F117" s="146"/>
      <c r="G117" s="146"/>
      <c r="H117" s="146"/>
      <c r="I117" s="146"/>
      <c r="J117" s="146"/>
      <c r="K117" s="146"/>
    </row>
    <row r="118" spans="2:11" x14ac:dyDescent="0.2">
      <c r="B118" s="26" t="s">
        <v>80</v>
      </c>
      <c r="C118" s="9"/>
      <c r="D118" s="9"/>
      <c r="E118" s="146"/>
      <c r="F118" s="146">
        <f>E120</f>
        <v>55507</v>
      </c>
      <c r="G118" s="146">
        <f t="shared" ref="G118:K118" si="65">F120</f>
        <v>20559</v>
      </c>
      <c r="H118" s="146">
        <f t="shared" ca="1" si="65"/>
        <v>0</v>
      </c>
      <c r="I118" s="146">
        <f t="shared" ca="1" si="65"/>
        <v>38151.512223836333</v>
      </c>
      <c r="J118" s="146">
        <f t="shared" ca="1" si="65"/>
        <v>40275.595298818218</v>
      </c>
      <c r="K118" s="146">
        <f t="shared" ca="1" si="65"/>
        <v>41877.46154375287</v>
      </c>
    </row>
    <row r="119" spans="2:11" x14ac:dyDescent="0.2">
      <c r="B119" s="26" t="s">
        <v>81</v>
      </c>
      <c r="C119" s="9"/>
      <c r="D119" s="9"/>
      <c r="E119" s="146"/>
      <c r="F119" s="146">
        <f>-MIN(F118,F115)</f>
        <v>-34948</v>
      </c>
      <c r="G119" s="146">
        <f t="shared" ref="G119:K119" ca="1" si="66">-MIN(G118,G115)</f>
        <v>-20559</v>
      </c>
      <c r="H119" s="146">
        <f t="shared" ca="1" si="66"/>
        <v>38151.512223836333</v>
      </c>
      <c r="I119" s="146">
        <f t="shared" ca="1" si="66"/>
        <v>2124.083074981887</v>
      </c>
      <c r="J119" s="146">
        <f t="shared" ca="1" si="66"/>
        <v>1601.8662449346502</v>
      </c>
      <c r="K119" s="146">
        <f t="shared" ca="1" si="66"/>
        <v>1670.0284380546946</v>
      </c>
    </row>
    <row r="120" spans="2:11" x14ac:dyDescent="0.2">
      <c r="B120" s="26" t="s">
        <v>82</v>
      </c>
      <c r="C120" s="9"/>
      <c r="D120" s="7"/>
      <c r="E120" s="148">
        <f>E66-E127</f>
        <v>55507</v>
      </c>
      <c r="F120" s="148">
        <f>F118+F119</f>
        <v>20559</v>
      </c>
      <c r="G120" s="148">
        <f t="shared" ref="G120:K120" ca="1" si="67">G118+G119</f>
        <v>0</v>
      </c>
      <c r="H120" s="148">
        <f t="shared" ca="1" si="67"/>
        <v>38151.512223836333</v>
      </c>
      <c r="I120" s="148">
        <f t="shared" ca="1" si="67"/>
        <v>40275.595298818218</v>
      </c>
      <c r="J120" s="148">
        <f t="shared" ca="1" si="67"/>
        <v>41877.46154375287</v>
      </c>
      <c r="K120" s="148">
        <f t="shared" ca="1" si="67"/>
        <v>43547.489981807565</v>
      </c>
    </row>
    <row r="121" spans="2:11" x14ac:dyDescent="0.2">
      <c r="B121" s="26" t="s">
        <v>83</v>
      </c>
      <c r="C121" s="9"/>
      <c r="D121" s="9"/>
      <c r="E121" s="12"/>
      <c r="F121" s="12">
        <f>F$22</f>
        <v>7.6791181873851807E-3</v>
      </c>
      <c r="G121" s="12">
        <f>G$22</f>
        <v>7.6791181873851807E-3</v>
      </c>
      <c r="H121" s="12">
        <f t="shared" ref="H121:K121" si="68">H$22</f>
        <v>7.6791181873851807E-3</v>
      </c>
      <c r="I121" s="12">
        <f t="shared" si="68"/>
        <v>7.6791181873851807E-3</v>
      </c>
      <c r="J121" s="12">
        <f t="shared" si="68"/>
        <v>7.6791181873851807E-3</v>
      </c>
      <c r="K121" s="12">
        <f t="shared" si="68"/>
        <v>7.6791181873851807E-3</v>
      </c>
    </row>
    <row r="122" spans="2:11" x14ac:dyDescent="0.2">
      <c r="B122" s="26" t="s">
        <v>29</v>
      </c>
      <c r="C122" s="9"/>
      <c r="D122" s="9"/>
      <c r="E122" s="18"/>
      <c r="F122" s="18">
        <f>AVERAGE(F118,F120)*F121</f>
        <v>292.05990202082057</v>
      </c>
      <c r="G122" s="18">
        <f t="shared" ref="G122:K122" ca="1" si="69">AVERAGE(G118,G120)*G121</f>
        <v>78.937495407225967</v>
      </c>
      <c r="H122" s="18">
        <f t="shared" ca="1" si="69"/>
        <v>146.48498569715483</v>
      </c>
      <c r="I122" s="18">
        <f t="shared" ca="1" si="69"/>
        <v>301.12551388061485</v>
      </c>
      <c r="J122" s="18">
        <f t="shared" ca="1" si="69"/>
        <v>315.43151647453811</v>
      </c>
      <c r="K122" s="18">
        <f t="shared" ca="1" si="69"/>
        <v>327.99414945821428</v>
      </c>
    </row>
    <row r="123" spans="2:11" x14ac:dyDescent="0.2">
      <c r="B123" s="26"/>
      <c r="C123" s="9"/>
      <c r="D123" s="9"/>
      <c r="E123" s="9"/>
      <c r="F123" s="9"/>
      <c r="G123" s="9"/>
      <c r="H123" s="9"/>
      <c r="I123" s="9"/>
      <c r="J123" s="7"/>
      <c r="K123" s="9"/>
    </row>
    <row r="124" spans="2:11" x14ac:dyDescent="0.2">
      <c r="B124" s="20" t="s">
        <v>84</v>
      </c>
      <c r="C124" s="9"/>
      <c r="D124" s="9"/>
      <c r="E124" s="9"/>
      <c r="F124" s="9"/>
      <c r="G124" s="9"/>
      <c r="H124" s="9"/>
      <c r="I124" s="9"/>
      <c r="J124" s="9"/>
      <c r="K124" s="9"/>
    </row>
    <row r="125" spans="2:11" x14ac:dyDescent="0.2">
      <c r="B125" s="26" t="s">
        <v>80</v>
      </c>
      <c r="C125" s="9"/>
      <c r="D125" s="9"/>
      <c r="E125" s="9"/>
      <c r="F125" s="13">
        <f>E127</f>
        <v>0</v>
      </c>
      <c r="G125" s="13">
        <f t="shared" ref="G125:K125" si="70">F127</f>
        <v>5553</v>
      </c>
      <c r="H125" s="13">
        <f t="shared" si="70"/>
        <v>1184</v>
      </c>
      <c r="I125" s="13">
        <f t="shared" si="70"/>
        <v>823</v>
      </c>
      <c r="J125" s="13">
        <f t="shared" si="70"/>
        <v>460</v>
      </c>
      <c r="K125" s="13">
        <f t="shared" si="70"/>
        <v>685</v>
      </c>
    </row>
    <row r="126" spans="2:11" x14ac:dyDescent="0.2">
      <c r="B126" s="26" t="s">
        <v>81</v>
      </c>
      <c r="C126" s="9"/>
      <c r="D126" s="9"/>
      <c r="E126" s="9"/>
      <c r="F126" s="13">
        <f>G35-F35</f>
        <v>5553</v>
      </c>
      <c r="G126" s="13">
        <f t="shared" ref="G126:K126" si="71">H35-G35</f>
        <v>-4369</v>
      </c>
      <c r="H126" s="13">
        <f t="shared" si="71"/>
        <v>-361</v>
      </c>
      <c r="I126" s="13">
        <f t="shared" si="71"/>
        <v>-363</v>
      </c>
      <c r="J126" s="13">
        <f t="shared" si="71"/>
        <v>225</v>
      </c>
      <c r="K126" s="13">
        <f t="shared" si="71"/>
        <v>-685</v>
      </c>
    </row>
    <row r="127" spans="2:11" x14ac:dyDescent="0.2">
      <c r="B127" s="26" t="s">
        <v>82</v>
      </c>
      <c r="C127" s="9"/>
      <c r="D127" s="7"/>
      <c r="E127" s="19">
        <f>F35</f>
        <v>0</v>
      </c>
      <c r="F127" s="19">
        <f>F125+F126</f>
        <v>5553</v>
      </c>
      <c r="G127" s="19">
        <f t="shared" ref="G127:K127" si="72">G125+G126</f>
        <v>1184</v>
      </c>
      <c r="H127" s="19">
        <f t="shared" si="72"/>
        <v>823</v>
      </c>
      <c r="I127" s="19">
        <f t="shared" si="72"/>
        <v>460</v>
      </c>
      <c r="J127" s="19">
        <f t="shared" si="72"/>
        <v>685</v>
      </c>
      <c r="K127" s="19">
        <f t="shared" si="72"/>
        <v>0</v>
      </c>
    </row>
    <row r="128" spans="2:11" x14ac:dyDescent="0.2">
      <c r="B128" s="26" t="s">
        <v>83</v>
      </c>
      <c r="C128" s="9"/>
      <c r="D128" s="9"/>
      <c r="E128" s="12"/>
      <c r="F128" s="12">
        <f>F$22</f>
        <v>7.6791181873851807E-3</v>
      </c>
      <c r="G128" s="12">
        <f t="shared" ref="G128:K128" si="73">G$22</f>
        <v>7.6791181873851807E-3</v>
      </c>
      <c r="H128" s="12">
        <f t="shared" si="73"/>
        <v>7.6791181873851807E-3</v>
      </c>
      <c r="I128" s="12">
        <f t="shared" si="73"/>
        <v>7.6791181873851807E-3</v>
      </c>
      <c r="J128" s="12">
        <f t="shared" si="73"/>
        <v>7.6791181873851807E-3</v>
      </c>
      <c r="K128" s="12">
        <f t="shared" si="73"/>
        <v>7.6791181873851807E-3</v>
      </c>
    </row>
    <row r="129" spans="2:11" x14ac:dyDescent="0.2">
      <c r="B129" s="26" t="s">
        <v>29</v>
      </c>
      <c r="C129" s="9"/>
      <c r="D129" s="9"/>
      <c r="E129" s="18"/>
      <c r="F129" s="18">
        <f>AVERAGE(F125,F127)*F128</f>
        <v>21.321071647274955</v>
      </c>
      <c r="G129" s="18">
        <f t="shared" ref="G129:K129" si="74">AVERAGE(G125,G127)*G128</f>
        <v>25.867109614206981</v>
      </c>
      <c r="H129" s="18">
        <f t="shared" si="74"/>
        <v>7.7059951010410286</v>
      </c>
      <c r="I129" s="18">
        <f t="shared" si="74"/>
        <v>4.926154317207593</v>
      </c>
      <c r="J129" s="18">
        <f t="shared" si="74"/>
        <v>4.3962951622780162</v>
      </c>
      <c r="K129" s="18">
        <f t="shared" si="74"/>
        <v>2.6300979791794243</v>
      </c>
    </row>
    <row r="130" spans="2:11" x14ac:dyDescent="0.2">
      <c r="B130" s="26"/>
      <c r="C130" s="9"/>
      <c r="D130" s="9"/>
      <c r="E130" s="9"/>
      <c r="F130" s="9"/>
      <c r="G130" s="9"/>
      <c r="H130" s="9"/>
      <c r="I130" s="9"/>
      <c r="J130" s="7"/>
      <c r="K130" s="9"/>
    </row>
    <row r="131" spans="2:11" x14ac:dyDescent="0.2">
      <c r="B131" s="20" t="s">
        <v>85</v>
      </c>
      <c r="C131" s="9"/>
      <c r="D131" s="9"/>
      <c r="E131" s="9"/>
      <c r="F131" s="9"/>
      <c r="G131" s="9"/>
      <c r="H131" s="9"/>
      <c r="I131" s="9"/>
      <c r="J131" s="9"/>
      <c r="K131" s="9"/>
    </row>
    <row r="132" spans="2:11" x14ac:dyDescent="0.2">
      <c r="B132" s="26" t="s">
        <v>80</v>
      </c>
      <c r="C132" s="9"/>
      <c r="D132" s="9"/>
      <c r="E132" s="9"/>
      <c r="F132" s="7">
        <f>E134</f>
        <v>105355</v>
      </c>
      <c r="G132" s="7">
        <f t="shared" ref="G132:K132" si="75">F134</f>
        <v>99802</v>
      </c>
      <c r="H132" s="7">
        <f t="shared" si="75"/>
        <v>98618</v>
      </c>
      <c r="I132" s="7">
        <f t="shared" si="75"/>
        <v>97795</v>
      </c>
      <c r="J132" s="7">
        <f t="shared" si="75"/>
        <v>97335</v>
      </c>
      <c r="K132" s="7">
        <f t="shared" si="75"/>
        <v>96650</v>
      </c>
    </row>
    <row r="133" spans="2:11" x14ac:dyDescent="0.2">
      <c r="B133" s="26" t="s">
        <v>81</v>
      </c>
      <c r="C133" s="9"/>
      <c r="D133" s="9"/>
      <c r="E133" s="9"/>
      <c r="F133" s="13">
        <f>-G35</f>
        <v>-5553</v>
      </c>
      <c r="G133" s="13">
        <f t="shared" ref="G133:K133" si="76">-H35</f>
        <v>-1184</v>
      </c>
      <c r="H133" s="13">
        <f t="shared" si="76"/>
        <v>-823</v>
      </c>
      <c r="I133" s="13">
        <f t="shared" si="76"/>
        <v>-460</v>
      </c>
      <c r="J133" s="13">
        <f t="shared" si="76"/>
        <v>-685</v>
      </c>
      <c r="K133" s="13">
        <f t="shared" si="76"/>
        <v>0</v>
      </c>
    </row>
    <row r="134" spans="2:11" x14ac:dyDescent="0.2">
      <c r="B134" s="26" t="s">
        <v>82</v>
      </c>
      <c r="C134" s="9"/>
      <c r="D134" s="7"/>
      <c r="E134" s="17">
        <f>E72</f>
        <v>105355</v>
      </c>
      <c r="F134" s="17">
        <f>F132+F133</f>
        <v>99802</v>
      </c>
      <c r="G134" s="17">
        <f t="shared" ref="G134:K134" si="77">G132+G133</f>
        <v>98618</v>
      </c>
      <c r="H134" s="17">
        <f t="shared" si="77"/>
        <v>97795</v>
      </c>
      <c r="I134" s="17">
        <f t="shared" si="77"/>
        <v>97335</v>
      </c>
      <c r="J134" s="17">
        <f t="shared" si="77"/>
        <v>96650</v>
      </c>
      <c r="K134" s="17">
        <f t="shared" si="77"/>
        <v>96650</v>
      </c>
    </row>
    <row r="135" spans="2:11" x14ac:dyDescent="0.2">
      <c r="B135" s="26" t="s">
        <v>83</v>
      </c>
      <c r="C135" s="9"/>
      <c r="D135" s="9"/>
      <c r="E135" s="12"/>
      <c r="F135" s="12">
        <f>F$22</f>
        <v>7.6791181873851807E-3</v>
      </c>
      <c r="G135" s="12">
        <f t="shared" ref="G135:K135" si="78">G$22</f>
        <v>7.6791181873851807E-3</v>
      </c>
      <c r="H135" s="12">
        <f t="shared" si="78"/>
        <v>7.6791181873851807E-3</v>
      </c>
      <c r="I135" s="12">
        <f t="shared" si="78"/>
        <v>7.6791181873851807E-3</v>
      </c>
      <c r="J135" s="12">
        <f t="shared" si="78"/>
        <v>7.6791181873851807E-3</v>
      </c>
      <c r="K135" s="12">
        <f t="shared" si="78"/>
        <v>7.6791181873851807E-3</v>
      </c>
    </row>
    <row r="136" spans="2:11" x14ac:dyDescent="0.2">
      <c r="B136" s="26" t="s">
        <v>29</v>
      </c>
      <c r="C136" s="9"/>
      <c r="D136" s="9"/>
      <c r="E136" s="6"/>
      <c r="F136" s="13">
        <f>AVERAGE(F132,F134)*F135</f>
        <v>787.71242498469076</v>
      </c>
      <c r="G136" s="13">
        <f t="shared" ref="G136:K136" si="79">AVERAGE(G132,G134)*G135</f>
        <v>761.84531537048383</v>
      </c>
      <c r="H136" s="13">
        <f t="shared" si="79"/>
        <v>754.13932026944269</v>
      </c>
      <c r="I136" s="13">
        <f t="shared" si="79"/>
        <v>749.21316595223516</v>
      </c>
      <c r="J136" s="13">
        <f t="shared" si="79"/>
        <v>744.81687078995719</v>
      </c>
      <c r="K136" s="13">
        <f t="shared" si="79"/>
        <v>742.18677281077771</v>
      </c>
    </row>
    <row r="137" spans="2:11" x14ac:dyDescent="0.2">
      <c r="B137" s="26"/>
      <c r="C137" s="6"/>
      <c r="D137" s="6"/>
      <c r="E137" s="13"/>
      <c r="F137" s="13"/>
      <c r="G137" s="13"/>
      <c r="H137" s="13"/>
      <c r="I137" s="13"/>
      <c r="J137" s="7"/>
      <c r="K137" s="13"/>
    </row>
    <row r="138" spans="2:11" x14ac:dyDescent="0.2">
      <c r="B138" s="20" t="s">
        <v>86</v>
      </c>
      <c r="C138" s="6"/>
      <c r="D138" s="6"/>
      <c r="E138" s="13"/>
      <c r="F138" s="13"/>
      <c r="G138" s="13"/>
      <c r="H138" s="13"/>
      <c r="I138" s="13"/>
      <c r="J138" s="13"/>
      <c r="K138" s="13"/>
    </row>
    <row r="139" spans="2:11" x14ac:dyDescent="0.2">
      <c r="B139" s="26" t="s">
        <v>80</v>
      </c>
      <c r="C139" s="6"/>
      <c r="D139" s="6"/>
      <c r="E139" s="21"/>
      <c r="F139" s="7">
        <f>F118+F125+F132</f>
        <v>160862</v>
      </c>
      <c r="G139" s="7">
        <f t="shared" ref="G139:K139" si="80">G118+G125+G132</f>
        <v>125914</v>
      </c>
      <c r="H139" s="7">
        <f t="shared" ca="1" si="80"/>
        <v>99802</v>
      </c>
      <c r="I139" s="7">
        <f t="shared" ca="1" si="80"/>
        <v>136769.51222383633</v>
      </c>
      <c r="J139" s="7">
        <f t="shared" ca="1" si="80"/>
        <v>138070.59529881823</v>
      </c>
      <c r="K139" s="7">
        <f t="shared" ca="1" si="80"/>
        <v>139212.46154375287</v>
      </c>
    </row>
    <row r="140" spans="2:11" x14ac:dyDescent="0.2">
      <c r="B140" s="26" t="s">
        <v>81</v>
      </c>
      <c r="C140" s="6"/>
      <c r="D140" s="6"/>
      <c r="E140" s="21"/>
      <c r="F140" s="7">
        <f t="shared" ref="F140:K141" si="81">F119+F126+F133</f>
        <v>-34948</v>
      </c>
      <c r="G140" s="7">
        <f t="shared" ca="1" si="81"/>
        <v>-26112</v>
      </c>
      <c r="H140" s="7">
        <f t="shared" ca="1" si="81"/>
        <v>36967.512223836333</v>
      </c>
      <c r="I140" s="7">
        <f t="shared" ca="1" si="81"/>
        <v>1301.083074981887</v>
      </c>
      <c r="J140" s="7">
        <f t="shared" ca="1" si="81"/>
        <v>1141.8662449346502</v>
      </c>
      <c r="K140" s="7">
        <f t="shared" ca="1" si="81"/>
        <v>985.02843805469456</v>
      </c>
    </row>
    <row r="141" spans="2:11" x14ac:dyDescent="0.2">
      <c r="B141" s="26" t="s">
        <v>82</v>
      </c>
      <c r="C141" s="6"/>
      <c r="D141" s="21"/>
      <c r="E141" s="21"/>
      <c r="F141" s="7">
        <f t="shared" si="81"/>
        <v>125914</v>
      </c>
      <c r="G141" s="7">
        <f t="shared" ca="1" si="81"/>
        <v>99802</v>
      </c>
      <c r="H141" s="7">
        <f t="shared" ca="1" si="81"/>
        <v>136769.51222383633</v>
      </c>
      <c r="I141" s="7">
        <f t="shared" ca="1" si="81"/>
        <v>138070.59529881823</v>
      </c>
      <c r="J141" s="7">
        <f t="shared" ca="1" si="81"/>
        <v>139212.46154375287</v>
      </c>
      <c r="K141" s="7">
        <f t="shared" ca="1" si="81"/>
        <v>140197.48998180756</v>
      </c>
    </row>
    <row r="142" spans="2:11" x14ac:dyDescent="0.2">
      <c r="B142" s="26"/>
      <c r="C142" s="6"/>
      <c r="D142" s="6"/>
      <c r="E142" s="14"/>
      <c r="F142" s="14"/>
      <c r="G142" s="14"/>
      <c r="H142" s="14"/>
      <c r="I142" s="14"/>
      <c r="J142" s="14"/>
      <c r="K142" s="14"/>
    </row>
    <row r="143" spans="2:11" x14ac:dyDescent="0.2">
      <c r="B143" s="26" t="s">
        <v>11</v>
      </c>
      <c r="C143" s="6"/>
      <c r="D143" s="12"/>
      <c r="E143" s="12"/>
      <c r="F143" s="12">
        <f>F23</f>
        <v>0</v>
      </c>
      <c r="G143" s="12">
        <f t="shared" ref="G143:K143" si="82">G23</f>
        <v>0.01</v>
      </c>
      <c r="H143" s="12">
        <f t="shared" si="82"/>
        <v>0.01</v>
      </c>
      <c r="I143" s="12">
        <f t="shared" si="82"/>
        <v>0.01</v>
      </c>
      <c r="J143" s="12">
        <f t="shared" si="82"/>
        <v>0.01</v>
      </c>
      <c r="K143" s="12">
        <f t="shared" si="82"/>
        <v>0.01</v>
      </c>
    </row>
    <row r="144" spans="2:11" x14ac:dyDescent="0.2">
      <c r="B144" s="26" t="s">
        <v>87</v>
      </c>
      <c r="C144" s="6"/>
      <c r="D144" s="13"/>
      <c r="E144" s="13"/>
      <c r="F144" s="13">
        <f>F143*AVERAGE(E55:F55)</f>
        <v>0</v>
      </c>
      <c r="G144" s="13">
        <f ca="1">G143*AVERAGE(F55:G55)</f>
        <v>32.57811779203017</v>
      </c>
      <c r="H144" s="13">
        <f t="shared" ref="H144:K144" ca="1" si="83">H143*AVERAGE(G55:H55)</f>
        <v>-142.35688220796987</v>
      </c>
      <c r="I144" s="13">
        <f t="shared" ca="1" si="83"/>
        <v>34.999999999999957</v>
      </c>
      <c r="J144" s="13">
        <f t="shared" ca="1" si="83"/>
        <v>34.999999999999964</v>
      </c>
      <c r="K144" s="13">
        <f t="shared" ca="1" si="83"/>
        <v>34.999999999999972</v>
      </c>
    </row>
    <row r="146" spans="2:11" x14ac:dyDescent="0.2">
      <c r="G146" s="2"/>
      <c r="H146" s="2"/>
    </row>
    <row r="147" spans="2:11" x14ac:dyDescent="0.2">
      <c r="B147" s="15" t="s">
        <v>244</v>
      </c>
      <c r="C147" s="15"/>
      <c r="D147" s="15"/>
      <c r="E147" s="16"/>
      <c r="F147" s="16"/>
      <c r="G147" s="16"/>
      <c r="H147" s="16"/>
      <c r="I147" s="16"/>
      <c r="J147" s="16"/>
      <c r="K147" s="16"/>
    </row>
    <row r="148" spans="2:11" x14ac:dyDescent="0.2">
      <c r="B148" s="153" t="s">
        <v>245</v>
      </c>
      <c r="C148" s="166" t="s">
        <v>250</v>
      </c>
      <c r="D148" s="166" t="s">
        <v>252</v>
      </c>
      <c r="E148" s="166" t="s">
        <v>253</v>
      </c>
      <c r="F148" s="166" t="s">
        <v>252</v>
      </c>
    </row>
    <row r="149" spans="2:11" x14ac:dyDescent="0.2">
      <c r="B149" t="s">
        <v>246</v>
      </c>
      <c r="C149" s="4">
        <v>145928</v>
      </c>
      <c r="D149" s="150">
        <f>C149/C153</f>
        <v>0.65751992682608129</v>
      </c>
      <c r="E149" s="156">
        <v>3024</v>
      </c>
      <c r="F149" s="150">
        <f>E149/$E$153</f>
        <v>0.39695458125492256</v>
      </c>
    </row>
    <row r="150" spans="2:11" x14ac:dyDescent="0.2">
      <c r="B150" t="s">
        <v>247</v>
      </c>
      <c r="C150" s="4">
        <v>7166</v>
      </c>
      <c r="D150" s="150">
        <f>C150/C153</f>
        <v>3.2288442215583704E-2</v>
      </c>
      <c r="E150" s="156">
        <v>-4806</v>
      </c>
      <c r="F150" s="150">
        <f t="shared" ref="F150:F153" si="84">E150/$E$153</f>
        <v>-0.63087424520871616</v>
      </c>
    </row>
    <row r="151" spans="2:11" x14ac:dyDescent="0.2">
      <c r="B151" t="s">
        <v>248</v>
      </c>
      <c r="C151" s="4">
        <v>66286</v>
      </c>
      <c r="D151" s="150">
        <f>C151/C153</f>
        <v>0.29867034338573561</v>
      </c>
      <c r="E151" s="156">
        <v>6843</v>
      </c>
      <c r="F151" s="150">
        <f t="shared" si="84"/>
        <v>0.89826726174849036</v>
      </c>
    </row>
    <row r="152" spans="2:11" x14ac:dyDescent="0.2">
      <c r="B152" s="153" t="s">
        <v>249</v>
      </c>
      <c r="C152" s="154">
        <v>2557</v>
      </c>
      <c r="D152" s="155">
        <f>C152/C153</f>
        <v>1.1521287572599431E-2</v>
      </c>
      <c r="E152" s="157">
        <v>2557</v>
      </c>
      <c r="F152" s="155">
        <f t="shared" si="84"/>
        <v>0.33565240220530324</v>
      </c>
    </row>
    <row r="153" spans="2:11" x14ac:dyDescent="0.2">
      <c r="B153" t="s">
        <v>251</v>
      </c>
      <c r="C153" s="151">
        <f>SUM(C149:C152)</f>
        <v>221937</v>
      </c>
      <c r="D153" s="152">
        <f>SUM(D149:D152)</f>
        <v>1</v>
      </c>
      <c r="E153" s="158">
        <f>SUM(E149:E152)</f>
        <v>7618</v>
      </c>
      <c r="F153" s="150">
        <f t="shared" si="84"/>
        <v>1</v>
      </c>
    </row>
  </sheetData>
  <pageMargins left="0.7" right="0.7" top="0.75" bottom="0.75" header="0.3" footer="0.3"/>
  <pageSetup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CFD35-E440-B241-B56C-CCE8AFA60935}">
  <dimension ref="B1:U146"/>
  <sheetViews>
    <sheetView zoomScale="150" zoomScaleNormal="150" zoomScaleSheetLayoutView="100" workbookViewId="0">
      <pane xSplit="2" ySplit="3" topLeftCell="C20" activePane="bottomRight" state="frozen"/>
      <selection pane="topRight" activeCell="C1" sqref="C1"/>
      <selection pane="bottomLeft" activeCell="A4" sqref="A4"/>
      <selection pane="bottomRight" activeCell="B51" sqref="B51"/>
    </sheetView>
  </sheetViews>
  <sheetFormatPr baseColWidth="10" defaultColWidth="8.83203125" defaultRowHeight="15" outlineLevelRow="1" x14ac:dyDescent="0.2"/>
  <cols>
    <col min="1" max="1" width="3.83203125" customWidth="1"/>
    <col min="2" max="2" width="44.33203125" customWidth="1"/>
    <col min="3" max="3" width="10.1640625" customWidth="1"/>
    <col min="4" max="4" width="11.1640625" customWidth="1"/>
    <col min="5" max="5" width="11.6640625" customWidth="1"/>
    <col min="6" max="8" width="11" customWidth="1"/>
    <col min="9" max="9" width="11.33203125" customWidth="1"/>
    <col min="10" max="10" width="11.5" customWidth="1"/>
    <col min="11" max="11" width="12.83203125" customWidth="1"/>
  </cols>
  <sheetData>
    <row r="1" spans="2:21" x14ac:dyDescent="0.2">
      <c r="B1" s="91" t="s">
        <v>240</v>
      </c>
    </row>
    <row r="2" spans="2:21" x14ac:dyDescent="0.2">
      <c r="B2" s="5" t="s">
        <v>241</v>
      </c>
      <c r="C2" s="6"/>
      <c r="D2" s="6"/>
      <c r="E2" s="6"/>
      <c r="F2" s="6"/>
      <c r="G2" s="6"/>
      <c r="H2" s="6"/>
      <c r="I2" s="6"/>
      <c r="J2" s="6"/>
      <c r="K2" s="6"/>
    </row>
    <row r="3" spans="2:21" x14ac:dyDescent="0.2">
      <c r="B3" s="25" t="s">
        <v>98</v>
      </c>
      <c r="C3" s="22" t="s">
        <v>90</v>
      </c>
      <c r="D3" s="22" t="s">
        <v>91</v>
      </c>
      <c r="E3" s="22" t="s">
        <v>92</v>
      </c>
      <c r="F3" s="8">
        <f>E3+365</f>
        <v>45992</v>
      </c>
      <c r="G3" s="8">
        <f t="shared" ref="G3:K3" si="0">F3+365</f>
        <v>46357</v>
      </c>
      <c r="H3" s="8">
        <f t="shared" si="0"/>
        <v>46722</v>
      </c>
      <c r="I3" s="109">
        <v>47088</v>
      </c>
      <c r="J3" s="8">
        <f t="shared" si="0"/>
        <v>47453</v>
      </c>
      <c r="K3" s="8">
        <f t="shared" si="0"/>
        <v>47818</v>
      </c>
    </row>
    <row r="4" spans="2:21" x14ac:dyDescent="0.2">
      <c r="B4" s="23" t="s">
        <v>97</v>
      </c>
      <c r="C4" s="9"/>
      <c r="D4" s="9"/>
      <c r="E4" s="9"/>
      <c r="F4" s="9"/>
      <c r="G4" s="9"/>
      <c r="H4" s="9"/>
      <c r="I4" s="9"/>
      <c r="J4" s="9"/>
      <c r="K4" s="9"/>
    </row>
    <row r="5" spans="2:21" x14ac:dyDescent="0.2">
      <c r="B5" s="24" t="s">
        <v>0</v>
      </c>
      <c r="C5" s="10"/>
      <c r="D5" s="10"/>
      <c r="E5" s="10"/>
      <c r="F5" s="10"/>
      <c r="G5" s="10"/>
      <c r="H5" s="10"/>
      <c r="I5" s="10"/>
      <c r="J5" s="10"/>
      <c r="K5" s="10"/>
    </row>
    <row r="6" spans="2:21" hidden="1" outlineLevel="1" x14ac:dyDescent="0.2">
      <c r="B6" s="26"/>
      <c r="C6" s="6"/>
      <c r="D6" s="6"/>
      <c r="E6" s="6"/>
      <c r="F6" s="6"/>
      <c r="G6" s="6"/>
      <c r="H6" s="6"/>
      <c r="I6" s="6"/>
      <c r="J6" s="6"/>
      <c r="K6" s="6"/>
    </row>
    <row r="7" spans="2:21" s="94" customFormat="1" hidden="1" outlineLevel="1" x14ac:dyDescent="0.2">
      <c r="B7" s="92"/>
      <c r="C7" s="93"/>
      <c r="D7" s="93"/>
      <c r="E7" s="93"/>
      <c r="F7" s="93"/>
      <c r="G7" s="93"/>
      <c r="H7" s="93"/>
      <c r="I7" s="93"/>
      <c r="J7" s="93"/>
      <c r="K7" s="93"/>
    </row>
    <row r="8" spans="2:21" s="94" customFormat="1" hidden="1" outlineLevel="1" x14ac:dyDescent="0.2">
      <c r="B8" s="93"/>
      <c r="C8" s="93"/>
      <c r="D8" s="93"/>
      <c r="E8" s="93"/>
      <c r="F8" s="95"/>
      <c r="G8" s="95"/>
      <c r="H8" s="95"/>
      <c r="I8" s="95"/>
      <c r="J8" s="95"/>
      <c r="K8" s="95"/>
      <c r="M8" s="96"/>
      <c r="N8" s="96"/>
      <c r="O8" s="96"/>
      <c r="P8" s="96"/>
      <c r="Q8" s="96"/>
      <c r="R8" s="96"/>
      <c r="S8" s="96"/>
      <c r="T8" s="96"/>
      <c r="U8" s="96"/>
    </row>
    <row r="9" spans="2:21" s="94" customFormat="1" hidden="1" outlineLevel="1" x14ac:dyDescent="0.2">
      <c r="B9" s="93"/>
      <c r="C9" s="93"/>
      <c r="D9" s="93"/>
      <c r="E9" s="93"/>
      <c r="F9" s="95"/>
      <c r="G9" s="95"/>
      <c r="H9" s="95"/>
      <c r="I9" s="95"/>
      <c r="J9" s="95"/>
      <c r="K9" s="95"/>
      <c r="M9" s="96"/>
      <c r="N9" s="96"/>
      <c r="O9" s="96"/>
      <c r="P9" s="96"/>
      <c r="Q9" s="96"/>
      <c r="R9" s="96"/>
      <c r="S9" s="96"/>
      <c r="T9" s="96"/>
      <c r="U9" s="96"/>
    </row>
    <row r="10" spans="2:21" s="94" customFormat="1" hidden="1" outlineLevel="1" x14ac:dyDescent="0.2">
      <c r="B10" s="93"/>
      <c r="C10" s="93"/>
      <c r="D10" s="93"/>
      <c r="E10" s="93"/>
      <c r="F10" s="97"/>
      <c r="G10" s="97"/>
      <c r="H10" s="97"/>
      <c r="I10" s="97"/>
      <c r="J10" s="97"/>
      <c r="K10" s="97"/>
      <c r="M10" s="96"/>
      <c r="N10" s="96"/>
      <c r="O10" s="96"/>
      <c r="P10" s="96"/>
      <c r="Q10" s="96"/>
      <c r="R10" s="96"/>
      <c r="S10" s="96"/>
      <c r="T10" s="96"/>
      <c r="U10" s="96"/>
    </row>
    <row r="11" spans="2:21" outlineLevel="1" x14ac:dyDescent="0.2">
      <c r="B11" s="90" t="s">
        <v>1</v>
      </c>
      <c r="C11" s="6"/>
      <c r="D11" s="6"/>
      <c r="E11" s="6"/>
      <c r="F11" s="98"/>
      <c r="G11" s="98"/>
      <c r="H11" s="98"/>
      <c r="I11" s="98"/>
      <c r="J11" s="98"/>
      <c r="K11" s="98"/>
      <c r="M11" s="3"/>
      <c r="N11" s="3"/>
      <c r="O11" s="3"/>
      <c r="P11" s="3"/>
      <c r="Q11" s="3"/>
      <c r="R11" s="3"/>
      <c r="S11" s="3"/>
      <c r="T11" s="3"/>
      <c r="U11" s="3"/>
    </row>
    <row r="12" spans="2:21" outlineLevel="1" x14ac:dyDescent="0.2">
      <c r="B12" t="s">
        <v>2</v>
      </c>
      <c r="C12" s="6"/>
      <c r="D12" s="6"/>
      <c r="E12" s="6"/>
      <c r="F12" s="98"/>
      <c r="G12" s="115">
        <v>192256</v>
      </c>
      <c r="H12" s="115">
        <v>191593</v>
      </c>
      <c r="I12" s="115">
        <v>201535</v>
      </c>
      <c r="J12" s="98" t="e">
        <v>#N/A</v>
      </c>
      <c r="K12" s="98" t="e">
        <v>#N/A</v>
      </c>
      <c r="M12" s="3"/>
      <c r="N12" s="3"/>
      <c r="O12" s="3"/>
      <c r="P12" s="3"/>
      <c r="Q12" s="3"/>
      <c r="R12" s="3"/>
      <c r="S12" s="3"/>
      <c r="T12" s="3"/>
      <c r="U12" s="3"/>
    </row>
    <row r="13" spans="2:21" outlineLevel="1" x14ac:dyDescent="0.2">
      <c r="B13" t="s">
        <v>3</v>
      </c>
      <c r="C13" s="6"/>
      <c r="D13" s="6"/>
      <c r="E13" s="6"/>
      <c r="F13" s="98"/>
      <c r="G13" s="115">
        <v>148573</v>
      </c>
      <c r="H13" s="115">
        <v>149443</v>
      </c>
      <c r="I13" s="115">
        <v>170743</v>
      </c>
      <c r="J13" s="98" t="e">
        <v>#N/A</v>
      </c>
      <c r="K13" s="98" t="e">
        <v>#N/A</v>
      </c>
      <c r="M13" s="3"/>
      <c r="N13" s="3"/>
      <c r="O13" s="3"/>
      <c r="P13" s="3"/>
      <c r="Q13" s="3"/>
      <c r="R13" s="3"/>
      <c r="S13" s="3"/>
      <c r="T13" s="3"/>
      <c r="U13" s="3"/>
    </row>
    <row r="14" spans="2:21" outlineLevel="1" x14ac:dyDescent="0.2">
      <c r="B14" t="s">
        <v>4</v>
      </c>
      <c r="C14" s="6"/>
      <c r="D14" s="6"/>
      <c r="E14" s="6"/>
      <c r="F14" s="98"/>
      <c r="G14" s="115">
        <v>13131</v>
      </c>
      <c r="H14" s="115">
        <v>14638</v>
      </c>
      <c r="I14" s="115">
        <v>17148</v>
      </c>
      <c r="J14" s="98" t="e">
        <v>#N/A</v>
      </c>
      <c r="K14" s="98" t="e">
        <v>#N/A</v>
      </c>
      <c r="M14" s="3"/>
      <c r="N14" s="3"/>
      <c r="O14" s="3"/>
      <c r="P14" s="3"/>
      <c r="Q14" s="3"/>
      <c r="R14" s="3"/>
      <c r="S14" s="3"/>
      <c r="T14" s="3"/>
      <c r="U14" s="3"/>
    </row>
    <row r="15" spans="2:21" x14ac:dyDescent="0.2">
      <c r="B15" s="26"/>
      <c r="C15" s="9"/>
      <c r="D15" s="9"/>
      <c r="E15" s="9"/>
      <c r="F15" s="9"/>
      <c r="G15" s="9"/>
      <c r="H15" s="9"/>
      <c r="I15" s="9"/>
      <c r="J15" s="9"/>
      <c r="K15" s="9"/>
    </row>
    <row r="16" spans="2:21" x14ac:dyDescent="0.2">
      <c r="B16" s="11" t="s">
        <v>239</v>
      </c>
      <c r="C16" s="9"/>
      <c r="D16" s="9"/>
      <c r="E16" s="9"/>
      <c r="F16" s="9"/>
      <c r="G16" s="9"/>
      <c r="H16" s="9"/>
      <c r="I16" s="9"/>
      <c r="J16" s="9"/>
      <c r="K16" s="9"/>
    </row>
    <row r="17" spans="2:11" x14ac:dyDescent="0.2">
      <c r="B17" s="26" t="s">
        <v>5</v>
      </c>
      <c r="C17" s="112"/>
      <c r="D17" s="112">
        <f>D39/C39-1</f>
        <v>0.1147307616872395</v>
      </c>
      <c r="E17" s="112">
        <f>E39/D39-1</f>
        <v>4.9951473117242129E-2</v>
      </c>
      <c r="F17" s="112">
        <f>F39/E39-1</f>
        <v>1.2297829095312185E-2</v>
      </c>
      <c r="G17" s="112">
        <f>G12/F39-1</f>
        <v>2.6641106014407168E-2</v>
      </c>
      <c r="H17" s="112">
        <f t="shared" ref="G17:K24" si="1">G17</f>
        <v>2.6641106014407168E-2</v>
      </c>
      <c r="I17" s="112">
        <f t="shared" si="1"/>
        <v>2.6641106014407168E-2</v>
      </c>
      <c r="J17" s="112">
        <f t="shared" si="1"/>
        <v>2.6641106014407168E-2</v>
      </c>
      <c r="K17" s="112">
        <f t="shared" si="1"/>
        <v>2.6641106014407168E-2</v>
      </c>
    </row>
    <row r="18" spans="2:11" x14ac:dyDescent="0.2">
      <c r="B18" s="159" t="s">
        <v>6</v>
      </c>
      <c r="C18" s="160">
        <f>C40/C39</f>
        <v>0.84121551086000623</v>
      </c>
      <c r="D18" s="160">
        <f t="shared" ref="D18:E18" si="2">D40/D39</f>
        <v>0.86202473452105954</v>
      </c>
      <c r="E18" s="160">
        <f t="shared" si="2"/>
        <v>0.87348101539526035</v>
      </c>
      <c r="F18" s="160">
        <f>F40/F39</f>
        <v>0.8781792841237378</v>
      </c>
      <c r="G18" s="161">
        <v>0.77</v>
      </c>
      <c r="H18" s="162">
        <f t="shared" si="1"/>
        <v>0.77</v>
      </c>
      <c r="I18" s="162">
        <f t="shared" si="1"/>
        <v>0.77</v>
      </c>
      <c r="J18" s="162">
        <f t="shared" si="1"/>
        <v>0.77</v>
      </c>
      <c r="K18" s="162">
        <f t="shared" si="1"/>
        <v>0.77</v>
      </c>
    </row>
    <row r="19" spans="2:11" x14ac:dyDescent="0.2">
      <c r="B19" s="26" t="s">
        <v>7</v>
      </c>
      <c r="C19" s="112">
        <f>C83/C60</f>
        <v>0.10560471016849912</v>
      </c>
      <c r="D19" s="112">
        <f>D83/D60</f>
        <v>0.10186139479683938</v>
      </c>
      <c r="E19" s="112">
        <f>E83/E60</f>
        <v>8.7328639685634757E-2</v>
      </c>
      <c r="F19" s="112">
        <f>F83/F60</f>
        <v>8.7881319905595376E-2</v>
      </c>
      <c r="G19" s="114">
        <f t="shared" si="1"/>
        <v>8.7881319905595376E-2</v>
      </c>
      <c r="H19" s="114">
        <f>G19</f>
        <v>8.7881319905595376E-2</v>
      </c>
      <c r="I19" s="114">
        <f t="shared" si="1"/>
        <v>8.7881319905595376E-2</v>
      </c>
      <c r="J19" s="114">
        <f t="shared" si="1"/>
        <v>8.7881319905595376E-2</v>
      </c>
      <c r="K19" s="114">
        <f t="shared" si="1"/>
        <v>8.7881319905595376E-2</v>
      </c>
    </row>
    <row r="20" spans="2:11" x14ac:dyDescent="0.2">
      <c r="B20" s="26" t="s">
        <v>8</v>
      </c>
      <c r="C20" s="112">
        <f>C42/C39</f>
        <v>6.8886540931436133E-2</v>
      </c>
      <c r="D20" s="112">
        <f t="shared" ref="D20:F20" si="3">D42/D39</f>
        <v>6.0740900500025542E-2</v>
      </c>
      <c r="E20" s="112">
        <f t="shared" si="3"/>
        <v>5.5607810067462377E-2</v>
      </c>
      <c r="F20" s="112">
        <f t="shared" si="3"/>
        <v>5.793332514538066E-2</v>
      </c>
      <c r="G20" s="114">
        <f t="shared" si="1"/>
        <v>5.793332514538066E-2</v>
      </c>
      <c r="H20" s="114">
        <f t="shared" si="1"/>
        <v>5.793332514538066E-2</v>
      </c>
      <c r="I20" s="114">
        <f>H20</f>
        <v>5.793332514538066E-2</v>
      </c>
      <c r="J20" s="114">
        <f t="shared" si="1"/>
        <v>5.793332514538066E-2</v>
      </c>
      <c r="K20" s="114">
        <f t="shared" si="1"/>
        <v>5.793332514538066E-2</v>
      </c>
    </row>
    <row r="21" spans="2:11" x14ac:dyDescent="0.2">
      <c r="B21" s="26" t="s">
        <v>9</v>
      </c>
      <c r="C21" s="112">
        <f>C43/C39</f>
        <v>4.9349285384386647E-2</v>
      </c>
      <c r="D21" s="112">
        <f t="shared" ref="D21:F21" si="4">D43/D39</f>
        <v>4.6540402177182714E-2</v>
      </c>
      <c r="E21" s="112">
        <f t="shared" si="4"/>
        <v>4.3245113302196853E-2</v>
      </c>
      <c r="F21" s="112">
        <f t="shared" si="4"/>
        <v>5.0195709868796956E-2</v>
      </c>
      <c r="G21" s="114">
        <f t="shared" si="1"/>
        <v>5.0195709868796956E-2</v>
      </c>
      <c r="H21" s="114">
        <f t="shared" si="1"/>
        <v>5.0195709868796956E-2</v>
      </c>
      <c r="I21" s="114">
        <f t="shared" si="1"/>
        <v>5.0195709868796956E-2</v>
      </c>
      <c r="J21" s="114">
        <f t="shared" si="1"/>
        <v>5.0195709868796956E-2</v>
      </c>
      <c r="K21" s="114">
        <f t="shared" si="1"/>
        <v>5.0195709868796956E-2</v>
      </c>
    </row>
    <row r="22" spans="2:11" x14ac:dyDescent="0.2">
      <c r="B22" s="26" t="s">
        <v>10</v>
      </c>
      <c r="C22" s="112">
        <f>C45/(AVERAGE(C66:C66)+AVERAGE(C72:C72))</f>
        <v>8.9625126357902526E-3</v>
      </c>
      <c r="D22" s="112">
        <f>D45/(AVERAGE(C66:D66)+AVERAGE(C72:D72))</f>
        <v>8.9306230515705763E-3</v>
      </c>
      <c r="E22" s="112">
        <f>E45/(AVERAGE(D66:E66)+AVERAGE(D72:E72))</f>
        <v>7.1481461299039324E-3</v>
      </c>
      <c r="F22" s="112">
        <f>F45/(AVERAGE(E66:F66)+AVERAGE(E72:F72))</f>
        <v>7.6791181873851807E-3</v>
      </c>
      <c r="G22" s="114">
        <f t="shared" si="1"/>
        <v>7.6791181873851807E-3</v>
      </c>
      <c r="H22" s="114">
        <f t="shared" si="1"/>
        <v>7.6791181873851807E-3</v>
      </c>
      <c r="I22" s="114">
        <f>G22</f>
        <v>7.6791181873851807E-3</v>
      </c>
      <c r="J22" s="114">
        <f t="shared" si="1"/>
        <v>7.6791181873851807E-3</v>
      </c>
      <c r="K22" s="114">
        <f t="shared" si="1"/>
        <v>7.6791181873851807E-3</v>
      </c>
    </row>
    <row r="23" spans="2:11" x14ac:dyDescent="0.2">
      <c r="B23" s="26" t="s">
        <v>11</v>
      </c>
      <c r="C23" s="112">
        <f>IFERROR(C46/AVERAGE(C55:C55),0)</f>
        <v>-3.3356024506466984E-3</v>
      </c>
      <c r="D23" s="112">
        <f>IFERROR(D46/AVERAGE(C55:D55),0)</f>
        <v>2.1367267719993828E-4</v>
      </c>
      <c r="E23" s="112">
        <f>IFERROR(E46/AVERAGE(D55:E55),0)</f>
        <v>1.986780269743629E-3</v>
      </c>
      <c r="F23" s="112">
        <f>IFERROR(F46/AVERAGE(E55:F55),0)</f>
        <v>0</v>
      </c>
      <c r="G23" s="113">
        <v>0.01</v>
      </c>
      <c r="H23" s="114">
        <f t="shared" si="1"/>
        <v>0.01</v>
      </c>
      <c r="I23" s="114">
        <f>G23</f>
        <v>0.01</v>
      </c>
      <c r="J23" s="114">
        <f t="shared" si="1"/>
        <v>0.01</v>
      </c>
      <c r="K23" s="114">
        <f t="shared" si="1"/>
        <v>0.01</v>
      </c>
    </row>
    <row r="24" spans="2:11" x14ac:dyDescent="0.2">
      <c r="B24" s="26" t="s">
        <v>12</v>
      </c>
      <c r="C24" s="112">
        <f>C48/(C49+C48)</f>
        <v>-0.17269638217069758</v>
      </c>
      <c r="D24" s="112">
        <f t="shared" ref="D24:E24" si="5">D48/(D49+D48)</f>
        <v>-8.7970838396111792E-2</v>
      </c>
      <c r="E24" s="112">
        <f t="shared" si="5"/>
        <v>0.3281058564077432</v>
      </c>
      <c r="F24" s="112">
        <f>F48/(F49+F48)</f>
        <v>-2.8</v>
      </c>
      <c r="G24" s="113">
        <v>0.2</v>
      </c>
      <c r="H24" s="114">
        <f t="shared" si="1"/>
        <v>0.2</v>
      </c>
      <c r="I24" s="114">
        <f>G24</f>
        <v>0.2</v>
      </c>
      <c r="J24" s="114">
        <f t="shared" si="1"/>
        <v>0.2</v>
      </c>
      <c r="K24" s="114">
        <f t="shared" si="1"/>
        <v>0.2</v>
      </c>
    </row>
    <row r="25" spans="2:11" x14ac:dyDescent="0.2">
      <c r="B25" s="26"/>
      <c r="C25" s="9"/>
      <c r="D25" s="9"/>
      <c r="E25" s="9"/>
      <c r="F25" s="9"/>
      <c r="G25" s="12"/>
      <c r="H25" s="9"/>
      <c r="I25" s="9"/>
      <c r="J25" s="9"/>
      <c r="K25" s="9"/>
    </row>
    <row r="26" spans="2:11" x14ac:dyDescent="0.2">
      <c r="B26" s="11" t="s">
        <v>13</v>
      </c>
      <c r="C26" s="9"/>
      <c r="D26" s="9"/>
      <c r="E26" s="9"/>
      <c r="F26" s="9"/>
      <c r="G26" s="9"/>
      <c r="H26" s="9"/>
      <c r="I26" s="9"/>
      <c r="J26" s="9"/>
      <c r="K26" s="9"/>
    </row>
    <row r="27" spans="2:11" x14ac:dyDescent="0.2">
      <c r="B27" s="26"/>
      <c r="C27" s="9"/>
      <c r="D27" s="9"/>
      <c r="E27" s="9"/>
      <c r="F27" s="9"/>
      <c r="G27" s="9"/>
      <c r="H27" s="9"/>
      <c r="I27" s="9"/>
      <c r="J27" s="9"/>
      <c r="K27" s="9"/>
    </row>
    <row r="28" spans="2:11" x14ac:dyDescent="0.2">
      <c r="B28" s="26" t="s">
        <v>14</v>
      </c>
      <c r="C28" s="110">
        <f>AVERAGE(C56:C56)/C39*365</f>
        <v>126.02738252655688</v>
      </c>
      <c r="D28" s="110">
        <f t="shared" ref="D28:F29" si="6">AVERAGE(C56:D56)/D39*365</f>
        <v>121.07970895221663</v>
      </c>
      <c r="E28" s="110">
        <f t="shared" si="6"/>
        <v>127.48718863518422</v>
      </c>
      <c r="F28" s="110">
        <f t="shared" si="6"/>
        <v>128.39622036984628</v>
      </c>
      <c r="G28" s="111">
        <f t="shared" ref="G28:K32" si="7">F28</f>
        <v>128.39622036984628</v>
      </c>
      <c r="H28" s="111">
        <f t="shared" si="7"/>
        <v>128.39622036984628</v>
      </c>
      <c r="I28" s="111">
        <f>G28</f>
        <v>128.39622036984628</v>
      </c>
      <c r="J28" s="111">
        <f t="shared" si="7"/>
        <v>128.39622036984628</v>
      </c>
      <c r="K28" s="111">
        <f t="shared" si="7"/>
        <v>128.39622036984628</v>
      </c>
    </row>
    <row r="29" spans="2:11" x14ac:dyDescent="0.2">
      <c r="B29" s="26" t="s">
        <v>15</v>
      </c>
      <c r="C29" s="110">
        <f>AVERAGE(C57:C57)/C40*365</f>
        <v>38.652226233453668</v>
      </c>
      <c r="D29" s="110">
        <f t="shared" si="6"/>
        <v>35.724728570393928</v>
      </c>
      <c r="E29" s="110">
        <f t="shared" si="6"/>
        <v>34.562588574575926</v>
      </c>
      <c r="F29" s="110">
        <f t="shared" si="6"/>
        <v>33.553881328517392</v>
      </c>
      <c r="G29" s="111">
        <f t="shared" si="7"/>
        <v>33.553881328517392</v>
      </c>
      <c r="H29" s="111">
        <f t="shared" si="7"/>
        <v>33.553881328517392</v>
      </c>
      <c r="I29" s="111">
        <f>G29</f>
        <v>33.553881328517392</v>
      </c>
      <c r="J29" s="111">
        <f t="shared" si="7"/>
        <v>33.553881328517392</v>
      </c>
      <c r="K29" s="111">
        <f t="shared" si="7"/>
        <v>33.553881328517392</v>
      </c>
    </row>
    <row r="30" spans="2:11" x14ac:dyDescent="0.2">
      <c r="B30" s="26" t="s">
        <v>16</v>
      </c>
      <c r="C30" s="110">
        <f>AVERAGE(C67:C67)/C40*365</f>
        <v>70.290500902527072</v>
      </c>
      <c r="D30" s="110">
        <f>AVERAGE(C67:D67)/D40*365</f>
        <v>61.998883994706382</v>
      </c>
      <c r="E30" s="110">
        <f>AVERAGE(D67:E67)/E40*365</f>
        <v>56.606657713801226</v>
      </c>
      <c r="F30" s="110">
        <f>AVERAGE(E67:F67)/F40*365</f>
        <v>55.416727473944078</v>
      </c>
      <c r="G30" s="111">
        <f t="shared" si="7"/>
        <v>55.416727473944078</v>
      </c>
      <c r="H30" s="111">
        <f t="shared" si="7"/>
        <v>55.416727473944078</v>
      </c>
      <c r="I30" s="111">
        <f>G30</f>
        <v>55.416727473944078</v>
      </c>
      <c r="J30" s="111">
        <f t="shared" si="7"/>
        <v>55.416727473944078</v>
      </c>
      <c r="K30" s="111">
        <f t="shared" si="7"/>
        <v>55.416727473944078</v>
      </c>
    </row>
    <row r="31" spans="2:11" x14ac:dyDescent="0.2">
      <c r="B31" s="26" t="s">
        <v>17</v>
      </c>
      <c r="C31" s="12">
        <f>C58/C39</f>
        <v>2.3738271636181883E-2</v>
      </c>
      <c r="D31" s="12">
        <f>D58/D39</f>
        <v>1.8951024740196717E-2</v>
      </c>
      <c r="E31" s="12">
        <f>E58/E39</f>
        <v>2.3065862307559245E-2</v>
      </c>
      <c r="F31" s="12">
        <f>F58/F39</f>
        <v>2.6021669594749743E-2</v>
      </c>
      <c r="G31" s="99">
        <f t="shared" si="7"/>
        <v>2.6021669594749743E-2</v>
      </c>
      <c r="H31" s="99">
        <f t="shared" si="7"/>
        <v>2.6021669594749743E-2</v>
      </c>
      <c r="I31" s="99">
        <f>G31</f>
        <v>2.6021669594749743E-2</v>
      </c>
      <c r="J31" s="99">
        <f t="shared" si="7"/>
        <v>2.6021669594749743E-2</v>
      </c>
      <c r="K31" s="99">
        <f t="shared" si="7"/>
        <v>2.6021669594749743E-2</v>
      </c>
    </row>
    <row r="32" spans="2:11" x14ac:dyDescent="0.2">
      <c r="B32" s="26" t="s">
        <v>18</v>
      </c>
      <c r="C32" s="12">
        <f>C69/C40</f>
        <v>0.15563327316486161</v>
      </c>
      <c r="D32" s="12">
        <f>D69/D40</f>
        <v>0.16716376636972366</v>
      </c>
      <c r="E32" s="12">
        <f>E69/E40</f>
        <v>0.16847889991150278</v>
      </c>
      <c r="F32" s="12">
        <f>F69/F40</f>
        <v>0.18979167426757634</v>
      </c>
      <c r="G32" s="99">
        <f t="shared" si="7"/>
        <v>0.18979167426757634</v>
      </c>
      <c r="H32" s="99">
        <f t="shared" si="7"/>
        <v>0.18979167426757634</v>
      </c>
      <c r="I32" s="99">
        <f>G32</f>
        <v>0.18979167426757634</v>
      </c>
      <c r="J32" s="99">
        <f t="shared" si="7"/>
        <v>0.18979167426757634</v>
      </c>
      <c r="K32" s="99">
        <f t="shared" si="7"/>
        <v>0.18979167426757634</v>
      </c>
    </row>
    <row r="33" spans="2:12" x14ac:dyDescent="0.2">
      <c r="B33" s="26"/>
      <c r="C33" s="9"/>
      <c r="D33" s="9"/>
      <c r="E33" s="9"/>
      <c r="F33" s="9"/>
      <c r="G33" s="9"/>
      <c r="H33" s="9"/>
      <c r="I33" s="9"/>
      <c r="J33" s="9"/>
      <c r="K33" s="13"/>
    </row>
    <row r="34" spans="2:12" x14ac:dyDescent="0.2">
      <c r="B34" s="26" t="s">
        <v>19</v>
      </c>
      <c r="C34" s="100">
        <v>3500</v>
      </c>
      <c r="D34" s="100">
        <v>3500</v>
      </c>
      <c r="E34" s="100">
        <v>3500</v>
      </c>
      <c r="F34" s="100">
        <v>3500</v>
      </c>
      <c r="G34" s="100">
        <v>3500</v>
      </c>
      <c r="H34" s="100">
        <v>3500</v>
      </c>
      <c r="I34" s="100">
        <v>3500</v>
      </c>
      <c r="J34" s="100">
        <v>3500</v>
      </c>
      <c r="K34" s="100">
        <v>3500</v>
      </c>
    </row>
    <row r="35" spans="2:12" x14ac:dyDescent="0.2">
      <c r="B35" s="26" t="s">
        <v>20</v>
      </c>
      <c r="C35" s="101" t="s">
        <v>21</v>
      </c>
      <c r="D35" s="102">
        <v>0</v>
      </c>
      <c r="E35" s="102">
        <v>0</v>
      </c>
      <c r="F35" s="102">
        <v>0</v>
      </c>
      <c r="G35" s="102">
        <v>5553</v>
      </c>
      <c r="H35" s="102">
        <v>1184</v>
      </c>
      <c r="I35" s="102">
        <v>823</v>
      </c>
      <c r="J35" s="102">
        <v>460</v>
      </c>
      <c r="K35" s="102">
        <v>685</v>
      </c>
      <c r="L35" s="4"/>
    </row>
    <row r="36" spans="2:12" x14ac:dyDescent="0.2">
      <c r="B36" s="26" t="s">
        <v>22</v>
      </c>
      <c r="C36" s="12">
        <f>-C94/C39</f>
        <v>4.3440024801179318E-2</v>
      </c>
      <c r="D36" s="12">
        <f>-D94/D39</f>
        <v>4.6744725894058155E-2</v>
      </c>
      <c r="E36" s="12">
        <f>-E94/E39</f>
        <v>4.694257048953468E-2</v>
      </c>
      <c r="F36" s="99">
        <f>E36</f>
        <v>4.694257048953468E-2</v>
      </c>
      <c r="G36" s="99">
        <f t="shared" ref="G36:K36" si="8">F36</f>
        <v>4.694257048953468E-2</v>
      </c>
      <c r="H36" s="99">
        <f t="shared" si="8"/>
        <v>4.694257048953468E-2</v>
      </c>
      <c r="I36" s="99">
        <f>G36</f>
        <v>4.694257048953468E-2</v>
      </c>
      <c r="J36" s="99">
        <f t="shared" si="8"/>
        <v>4.694257048953468E-2</v>
      </c>
      <c r="K36" s="99">
        <f t="shared" si="8"/>
        <v>4.694257048953468E-2</v>
      </c>
    </row>
    <row r="37" spans="2:12" x14ac:dyDescent="0.2">
      <c r="B37" s="26"/>
      <c r="C37" s="6"/>
      <c r="D37" s="6"/>
      <c r="E37" s="6"/>
      <c r="F37" s="6"/>
      <c r="G37" s="6"/>
      <c r="H37" s="6"/>
      <c r="I37" s="6"/>
      <c r="J37" s="6"/>
      <c r="K37" s="14"/>
    </row>
    <row r="38" spans="2:12" x14ac:dyDescent="0.2">
      <c r="B38" s="24" t="s">
        <v>23</v>
      </c>
      <c r="C38" s="103"/>
      <c r="D38" s="103"/>
      <c r="E38" s="103"/>
      <c r="F38" s="103"/>
      <c r="G38" s="103"/>
      <c r="H38" s="103"/>
      <c r="I38" s="103"/>
      <c r="J38" s="103"/>
      <c r="K38" s="103"/>
    </row>
    <row r="39" spans="2:12" x14ac:dyDescent="0.2">
      <c r="B39" s="26" t="s">
        <v>2</v>
      </c>
      <c r="C39" s="116">
        <v>158057</v>
      </c>
      <c r="D39" s="116">
        <v>176191</v>
      </c>
      <c r="E39" s="116">
        <v>184992</v>
      </c>
      <c r="F39" s="117">
        <v>187267</v>
      </c>
      <c r="G39" s="118">
        <f xml:space="preserve"> F39 * (1 + G17)</f>
        <v>192256</v>
      </c>
      <c r="H39" s="118">
        <f xml:space="preserve"> G39 * (1 + H17)</f>
        <v>197377.91247790586</v>
      </c>
      <c r="I39" s="118">
        <f xml:space="preserve"> H39 * (1 + I17)</f>
        <v>202636.27836913214</v>
      </c>
      <c r="J39" s="118">
        <f xml:space="preserve"> I39 * (1 + J17)</f>
        <v>208034.73294352912</v>
      </c>
      <c r="K39" s="118">
        <f t="shared" ref="K39" si="9" xml:space="preserve"> J39 * (1 + K17)</f>
        <v>213577.00831855656</v>
      </c>
    </row>
    <row r="40" spans="2:12" x14ac:dyDescent="0.2">
      <c r="B40" s="26" t="s">
        <v>24</v>
      </c>
      <c r="C40" s="116">
        <v>132960</v>
      </c>
      <c r="D40" s="116">
        <v>151881</v>
      </c>
      <c r="E40" s="116">
        <v>161587</v>
      </c>
      <c r="F40" s="117">
        <v>164454</v>
      </c>
      <c r="G40" s="124">
        <f xml:space="preserve"> G39 * G18</f>
        <v>148037.12</v>
      </c>
      <c r="H40" s="124">
        <f t="shared" ref="H40:K40" si="10" xml:space="preserve"> H39 * H18</f>
        <v>151980.99260798751</v>
      </c>
      <c r="I40" s="124">
        <f t="shared" si="10"/>
        <v>156029.93434423176</v>
      </c>
      <c r="J40" s="124">
        <f t="shared" si="10"/>
        <v>160186.74436651744</v>
      </c>
      <c r="K40" s="124">
        <f t="shared" si="10"/>
        <v>164454.29640528857</v>
      </c>
    </row>
    <row r="41" spans="2:12" x14ac:dyDescent="0.2">
      <c r="B41" s="26" t="s">
        <v>25</v>
      </c>
      <c r="C41" s="119">
        <f>C39-C40</f>
        <v>25097</v>
      </c>
      <c r="D41" s="119">
        <f t="shared" ref="D41:K41" si="11">D39-D40</f>
        <v>24310</v>
      </c>
      <c r="E41" s="119">
        <f t="shared" si="11"/>
        <v>23405</v>
      </c>
      <c r="F41" s="119">
        <f t="shared" si="11"/>
        <v>22813</v>
      </c>
      <c r="G41" s="119">
        <f t="shared" si="11"/>
        <v>44218.880000000005</v>
      </c>
      <c r="H41" s="119">
        <f t="shared" si="11"/>
        <v>45396.919869918347</v>
      </c>
      <c r="I41" s="119">
        <f t="shared" si="11"/>
        <v>46606.344024900376</v>
      </c>
      <c r="J41" s="119">
        <f t="shared" si="11"/>
        <v>47847.988577011682</v>
      </c>
      <c r="K41" s="119">
        <f t="shared" si="11"/>
        <v>49122.711913267995</v>
      </c>
    </row>
    <row r="42" spans="2:12" x14ac:dyDescent="0.2">
      <c r="B42" s="26" t="s">
        <v>26</v>
      </c>
      <c r="C42" s="116">
        <v>10888</v>
      </c>
      <c r="D42" s="116">
        <v>10702</v>
      </c>
      <c r="E42" s="116">
        <v>10287</v>
      </c>
      <c r="F42" s="116">
        <v>10849</v>
      </c>
      <c r="G42" s="118">
        <f>G39 * G20</f>
        <v>11138.029359150303</v>
      </c>
      <c r="H42" s="118">
        <f>H39 * H20</f>
        <v>11434.758780099006</v>
      </c>
      <c r="I42" s="118">
        <f t="shared" ref="I42:K42" si="12">I39 * I20</f>
        <v>11739.393401008798</v>
      </c>
      <c r="J42" s="118">
        <f t="shared" si="12"/>
        <v>12052.143825149906</v>
      </c>
      <c r="K42" s="118">
        <f t="shared" si="12"/>
        <v>12373.226266496607</v>
      </c>
    </row>
    <row r="43" spans="2:12" x14ac:dyDescent="0.2">
      <c r="B43" s="26" t="s">
        <v>27</v>
      </c>
      <c r="C43" s="116">
        <v>7800</v>
      </c>
      <c r="D43" s="116">
        <v>8200</v>
      </c>
      <c r="E43" s="116">
        <v>8000</v>
      </c>
      <c r="F43" s="116">
        <v>9400</v>
      </c>
      <c r="G43" s="120">
        <f t="shared" ref="G43" si="13">G21*G39</f>
        <v>9650.4263965354276</v>
      </c>
      <c r="H43" s="120">
        <f>H21*H39</f>
        <v>9907.5244292497609</v>
      </c>
      <c r="I43" s="120">
        <f>I21*I39</f>
        <v>10171.471837909734</v>
      </c>
      <c r="J43" s="120">
        <f>J21*J39</f>
        <v>10442.451097466044</v>
      </c>
      <c r="K43" s="120">
        <f>K21*K39</f>
        <v>10720.649544203899</v>
      </c>
    </row>
    <row r="44" spans="2:12" x14ac:dyDescent="0.2">
      <c r="B44" s="26" t="s">
        <v>28</v>
      </c>
      <c r="C44" s="119">
        <f>C41-C42-C43</f>
        <v>6409</v>
      </c>
      <c r="D44" s="119">
        <f t="shared" ref="D44" si="14">D41-D42-D43</f>
        <v>5408</v>
      </c>
      <c r="E44" s="119">
        <f>E41-E42-E43</f>
        <v>5118</v>
      </c>
      <c r="F44" s="119">
        <f>F41-F42-F43</f>
        <v>2564</v>
      </c>
      <c r="G44" s="119">
        <f>G41-G42-G43</f>
        <v>23430.424244314279</v>
      </c>
      <c r="H44" s="119">
        <f t="shared" ref="H44:K44" si="15">H41-H42-H43</f>
        <v>24054.63666056958</v>
      </c>
      <c r="I44" s="119">
        <f t="shared" si="15"/>
        <v>24695.478785981846</v>
      </c>
      <c r="J44" s="119">
        <f t="shared" si="15"/>
        <v>25353.393654395732</v>
      </c>
      <c r="K44" s="119">
        <f t="shared" si="15"/>
        <v>26028.836102567482</v>
      </c>
    </row>
    <row r="45" spans="2:12" x14ac:dyDescent="0.2">
      <c r="B45" s="26" t="s">
        <v>29</v>
      </c>
      <c r="C45" s="121">
        <v>1259</v>
      </c>
      <c r="D45" s="121">
        <v>1302</v>
      </c>
      <c r="E45" s="121">
        <v>1115</v>
      </c>
      <c r="F45" s="121">
        <v>1254</v>
      </c>
      <c r="G45" s="122">
        <f ca="1">G122+G129+G136</f>
        <v>866.64992039191679</v>
      </c>
      <c r="H45" s="122">
        <f t="shared" ref="H45:K45" ca="1" si="16">H122+H129+H136</f>
        <v>827.21275309295379</v>
      </c>
      <c r="I45" s="122">
        <f t="shared" ca="1" si="16"/>
        <v>842.98681646051625</v>
      </c>
      <c r="J45" s="122">
        <f t="shared" ca="1" si="16"/>
        <v>772.69322442083865</v>
      </c>
      <c r="K45" s="122">
        <f t="shared" ca="1" si="16"/>
        <v>744.81687078995708</v>
      </c>
      <c r="L45" s="1"/>
    </row>
    <row r="46" spans="2:12" x14ac:dyDescent="0.2">
      <c r="B46" s="26" t="s">
        <v>30</v>
      </c>
      <c r="C46" s="116">
        <v>-147</v>
      </c>
      <c r="D46" s="116">
        <v>9</v>
      </c>
      <c r="E46" s="116">
        <v>78</v>
      </c>
      <c r="F46" s="116">
        <v>0</v>
      </c>
      <c r="G46" s="120">
        <f ca="1">G144</f>
        <v>75.068247059510611</v>
      </c>
      <c r="H46" s="120">
        <f t="shared" ref="H46:K46" ca="1" si="17">H144</f>
        <v>-99.866752940489349</v>
      </c>
      <c r="I46" s="120">
        <f t="shared" ca="1" si="17"/>
        <v>35.000000000000064</v>
      </c>
      <c r="J46" s="120">
        <f t="shared" ca="1" si="17"/>
        <v>63.72882508147552</v>
      </c>
      <c r="K46" s="120">
        <f t="shared" ca="1" si="17"/>
        <v>153.68532851076819</v>
      </c>
      <c r="L46" s="1"/>
    </row>
    <row r="47" spans="2:12" x14ac:dyDescent="0.2">
      <c r="B47" s="26" t="s">
        <v>31</v>
      </c>
      <c r="C47" s="117">
        <v>0</v>
      </c>
      <c r="D47" s="117">
        <v>0</v>
      </c>
      <c r="E47" s="117">
        <v>0</v>
      </c>
      <c r="F47" s="117">
        <v>0</v>
      </c>
      <c r="G47" s="117">
        <v>0</v>
      </c>
      <c r="H47" s="117">
        <v>0</v>
      </c>
      <c r="I47" s="117">
        <v>0</v>
      </c>
      <c r="J47" s="117">
        <v>0</v>
      </c>
      <c r="K47" s="117">
        <v>0</v>
      </c>
      <c r="L47" s="1"/>
    </row>
    <row r="48" spans="2:12" x14ac:dyDescent="0.2">
      <c r="B48" s="26" t="s">
        <v>32</v>
      </c>
      <c r="C48" s="116">
        <v>-864</v>
      </c>
      <c r="D48" s="116">
        <v>-362</v>
      </c>
      <c r="E48" s="116">
        <v>1339</v>
      </c>
      <c r="F48" s="116">
        <v>-3668</v>
      </c>
      <c r="G48" s="120">
        <f ca="1">(G44-G45+G46-G47)*G24</f>
        <v>4527.7685141963748</v>
      </c>
      <c r="H48" s="120">
        <f t="shared" ref="H48:K48" ca="1" si="18">(H44-H45+H46-H47)*H24</f>
        <v>4625.5114309072278</v>
      </c>
      <c r="I48" s="120">
        <f t="shared" ca="1" si="18"/>
        <v>4777.4983939042659</v>
      </c>
      <c r="J48" s="120">
        <f t="shared" ca="1" si="18"/>
        <v>4928.8858510112732</v>
      </c>
      <c r="K48" s="120">
        <f t="shared" ca="1" si="18"/>
        <v>5087.5409120576587</v>
      </c>
      <c r="L48" s="1"/>
    </row>
    <row r="49" spans="2:11" x14ac:dyDescent="0.2">
      <c r="B49" s="26" t="s">
        <v>33</v>
      </c>
      <c r="C49" s="119">
        <f>C44-C45+C46-C48-C47</f>
        <v>5867</v>
      </c>
      <c r="D49" s="119">
        <f t="shared" ref="D49" si="19">D44-D45+D46-D48-D47</f>
        <v>4477</v>
      </c>
      <c r="E49" s="119">
        <f>E44-E45+E46-E48-E47</f>
        <v>2742</v>
      </c>
      <c r="F49" s="119">
        <f>F44-F45+F46-F48-F47</f>
        <v>4978</v>
      </c>
      <c r="G49" s="119">
        <f ca="1">G44-G45+G46-G48-G47</f>
        <v>18111.074056785499</v>
      </c>
      <c r="H49" s="119">
        <f t="shared" ref="H49:K49" ca="1" si="20">H44-H45+H46-H48-H47</f>
        <v>18502.045723628911</v>
      </c>
      <c r="I49" s="119">
        <f t="shared" ca="1" si="20"/>
        <v>19109.993575617063</v>
      </c>
      <c r="J49" s="119">
        <f t="shared" ca="1" si="20"/>
        <v>19715.543404045093</v>
      </c>
      <c r="K49" s="119">
        <f t="shared" ca="1" si="20"/>
        <v>20350.163648230635</v>
      </c>
    </row>
    <row r="50" spans="2:11" x14ac:dyDescent="0.2">
      <c r="B50" s="26"/>
      <c r="C50" s="117"/>
      <c r="D50" s="117"/>
      <c r="E50" s="123"/>
      <c r="F50" s="124"/>
      <c r="G50" s="124"/>
      <c r="H50" s="124"/>
      <c r="I50" s="124"/>
      <c r="J50" s="124"/>
      <c r="K50" s="124"/>
    </row>
    <row r="51" spans="2:11" ht="14" customHeight="1" x14ac:dyDescent="0.2">
      <c r="B51" s="159" t="s">
        <v>4</v>
      </c>
      <c r="C51" s="125">
        <f>C44+C83</f>
        <v>12902</v>
      </c>
      <c r="D51" s="125">
        <f t="shared" ref="D51:J51" si="21">D44+D83</f>
        <v>11931</v>
      </c>
      <c r="E51" s="125">
        <f t="shared" si="21"/>
        <v>10985</v>
      </c>
      <c r="F51" s="125">
        <f>F44+F83</f>
        <v>8559</v>
      </c>
      <c r="G51" s="125">
        <f>G44+G83</f>
        <v>29425.424244314279</v>
      </c>
      <c r="H51" s="125">
        <f>H44+H83</f>
        <v>30315.916254190757</v>
      </c>
      <c r="I51" s="125">
        <f t="shared" si="21"/>
        <v>31220.766781039922</v>
      </c>
      <c r="J51" s="125">
        <f t="shared" si="21"/>
        <v>32141.181375580742</v>
      </c>
      <c r="K51" s="125">
        <f>K44+K83</f>
        <v>33078.32537730597</v>
      </c>
    </row>
    <row r="52" spans="2:11" x14ac:dyDescent="0.2">
      <c r="B52" s="26"/>
      <c r="C52" s="104"/>
      <c r="D52" s="104"/>
      <c r="E52" s="104"/>
      <c r="F52" s="105"/>
      <c r="G52" s="105"/>
      <c r="H52" s="105"/>
      <c r="I52" s="105"/>
      <c r="J52" s="105"/>
      <c r="K52" s="105"/>
    </row>
    <row r="53" spans="2:11" x14ac:dyDescent="0.2">
      <c r="B53" s="24" t="s">
        <v>34</v>
      </c>
      <c r="C53" s="103"/>
      <c r="D53" s="106"/>
      <c r="E53" s="107"/>
      <c r="F53" s="107"/>
      <c r="G53" s="107"/>
      <c r="H53" s="107"/>
      <c r="I53" s="107"/>
      <c r="J53" s="107"/>
      <c r="K53" s="107"/>
    </row>
    <row r="54" spans="2:11" x14ac:dyDescent="0.2">
      <c r="B54" s="5" t="s">
        <v>35</v>
      </c>
      <c r="C54" s="9"/>
      <c r="D54" s="9"/>
      <c r="E54" s="9"/>
      <c r="F54" s="108"/>
      <c r="G54" s="108"/>
      <c r="H54" s="108"/>
      <c r="I54" s="108"/>
      <c r="J54" s="108"/>
      <c r="K54" s="108"/>
    </row>
    <row r="55" spans="2:11" x14ac:dyDescent="0.2">
      <c r="B55" s="26" t="s">
        <v>36</v>
      </c>
      <c r="C55" s="126">
        <v>44070</v>
      </c>
      <c r="D55" s="126">
        <v>40171</v>
      </c>
      <c r="E55" s="126">
        <v>38348</v>
      </c>
      <c r="F55" s="126">
        <v>38487</v>
      </c>
      <c r="G55" s="127">
        <f ca="1">G109</f>
        <v>-23473.350588097877</v>
      </c>
      <c r="H55" s="127">
        <f t="shared" ref="H55:K55" ca="1" si="22">H109</f>
        <v>3500.0000000000073</v>
      </c>
      <c r="I55" s="127">
        <f t="shared" ca="1" si="22"/>
        <v>3500.0000000000055</v>
      </c>
      <c r="J55" s="127">
        <f t="shared" ca="1" si="22"/>
        <v>9245.7650162950977</v>
      </c>
      <c r="K55" s="127">
        <f t="shared" ca="1" si="22"/>
        <v>21491.30068585854</v>
      </c>
    </row>
    <row r="56" spans="2:11" x14ac:dyDescent="0.2">
      <c r="B56" s="26" t="s">
        <v>37</v>
      </c>
      <c r="C56" s="116">
        <v>54574</v>
      </c>
      <c r="D56" s="116">
        <v>62320</v>
      </c>
      <c r="E56" s="116">
        <v>66908</v>
      </c>
      <c r="F56" s="116">
        <v>64842</v>
      </c>
      <c r="G56" s="124">
        <f>G39/365*G28</f>
        <v>67629.982858699077</v>
      </c>
      <c r="H56" s="124">
        <f t="shared" ref="H56:K57" si="23">H39/365*H28</f>
        <v>69431.720401790226</v>
      </c>
      <c r="I56" s="124">
        <f t="shared" si="23"/>
        <v>71281.458225776994</v>
      </c>
      <c r="J56" s="124">
        <f t="shared" si="23"/>
        <v>73180.475111231455</v>
      </c>
      <c r="K56" s="124">
        <f t="shared" si="23"/>
        <v>75130.083906854459</v>
      </c>
    </row>
    <row r="57" spans="2:11" x14ac:dyDescent="0.2">
      <c r="B57" s="26" t="s">
        <v>38</v>
      </c>
      <c r="C57" s="117">
        <v>14080</v>
      </c>
      <c r="D57" s="117">
        <v>15651</v>
      </c>
      <c r="E57" s="117">
        <v>14951</v>
      </c>
      <c r="F57" s="117">
        <v>15285</v>
      </c>
      <c r="G57" s="124">
        <f>G40/365*G29</f>
        <v>13608.821799165722</v>
      </c>
      <c r="H57" s="124">
        <f t="shared" si="23"/>
        <v>13971.375863448471</v>
      </c>
      <c r="I57" s="124">
        <f t="shared" si="23"/>
        <v>14343.588768993734</v>
      </c>
      <c r="J57" s="124">
        <f t="shared" si="23"/>
        <v>14725.717838015555</v>
      </c>
      <c r="K57" s="124">
        <f t="shared" si="23"/>
        <v>15118.027248076376</v>
      </c>
    </row>
    <row r="58" spans="2:11" x14ac:dyDescent="0.2">
      <c r="B58" s="26" t="s">
        <v>39</v>
      </c>
      <c r="C58" s="116">
        <v>3752</v>
      </c>
      <c r="D58" s="116">
        <v>3339</v>
      </c>
      <c r="E58" s="116">
        <v>4267</v>
      </c>
      <c r="F58" s="116">
        <v>4873</v>
      </c>
      <c r="G58" s="124">
        <f>G39*G31</f>
        <v>5002.822109608207</v>
      </c>
      <c r="H58" s="124">
        <f t="shared" ref="H58:K58" si="24">H39*H31</f>
        <v>5136.1028238014987</v>
      </c>
      <c r="I58" s="124">
        <f t="shared" si="24"/>
        <v>5272.9342836312908</v>
      </c>
      <c r="J58" s="124">
        <f t="shared" si="24"/>
        <v>5413.4110848885148</v>
      </c>
      <c r="K58" s="124">
        <f t="shared" si="24"/>
        <v>5557.6303435005966</v>
      </c>
    </row>
    <row r="59" spans="2:11" x14ac:dyDescent="0.2">
      <c r="B59" s="26" t="s">
        <v>40</v>
      </c>
      <c r="C59" s="128">
        <f>SUM(C55:C58)</f>
        <v>116476</v>
      </c>
      <c r="D59" s="128">
        <f>SUM(D55:D58)</f>
        <v>121481</v>
      </c>
      <c r="E59" s="128">
        <f>SUM(E55:E58)</f>
        <v>124474</v>
      </c>
      <c r="F59" s="129">
        <f>SUM(F55:F58)</f>
        <v>123487</v>
      </c>
      <c r="G59" s="129">
        <f t="shared" ref="G59:K59" ca="1" si="25">SUM(G55:G58)</f>
        <v>62768.276179375127</v>
      </c>
      <c r="H59" s="129">
        <f t="shared" ca="1" si="25"/>
        <v>92039.199089040194</v>
      </c>
      <c r="I59" s="129">
        <f t="shared" ca="1" si="25"/>
        <v>94397.981278402018</v>
      </c>
      <c r="J59" s="129">
        <f t="shared" ca="1" si="25"/>
        <v>102565.36905043063</v>
      </c>
      <c r="K59" s="129">
        <f t="shared" ca="1" si="25"/>
        <v>117297.04218428998</v>
      </c>
    </row>
    <row r="60" spans="2:11" x14ac:dyDescent="0.2">
      <c r="B60" s="26" t="s">
        <v>41</v>
      </c>
      <c r="C60" s="126">
        <v>61484</v>
      </c>
      <c r="D60" s="126">
        <v>64038</v>
      </c>
      <c r="E60" s="126">
        <v>67183</v>
      </c>
      <c r="F60" s="130">
        <v>68217</v>
      </c>
      <c r="G60" s="127">
        <f>F60-G94-G83</f>
        <v>71246.990832035983</v>
      </c>
      <c r="H60" s="127">
        <f>G60-H94-H83</f>
        <v>74251.137807986102</v>
      </c>
      <c r="I60" s="127">
        <f>H60-I94-I83</f>
        <v>77238.117594007985</v>
      </c>
      <c r="J60" s="127">
        <f t="shared" ref="J60" si="26">I60-J94-J83</f>
        <v>80216.014988296112</v>
      </c>
      <c r="K60" s="127">
        <f>J60-K94-K83</f>
        <v>83192.379481495402</v>
      </c>
    </row>
    <row r="61" spans="2:11" x14ac:dyDescent="0.2">
      <c r="B61" s="26" t="s">
        <v>42</v>
      </c>
      <c r="C61" s="116">
        <v>53307</v>
      </c>
      <c r="D61" s="116">
        <v>61688</v>
      </c>
      <c r="E61" s="116">
        <v>66815</v>
      </c>
      <c r="F61" s="117">
        <v>64560</v>
      </c>
      <c r="G61" s="124">
        <f t="shared" ref="G61:K63" si="27">F61</f>
        <v>64560</v>
      </c>
      <c r="H61" s="124">
        <f t="shared" si="27"/>
        <v>64560</v>
      </c>
      <c r="I61" s="124">
        <f>H61</f>
        <v>64560</v>
      </c>
      <c r="J61" s="124">
        <f t="shared" si="27"/>
        <v>64560</v>
      </c>
      <c r="K61" s="124">
        <f t="shared" si="27"/>
        <v>64560</v>
      </c>
    </row>
    <row r="62" spans="2:11" x14ac:dyDescent="0.2">
      <c r="B62" s="26" t="s">
        <v>43</v>
      </c>
      <c r="C62" s="116">
        <v>603</v>
      </c>
      <c r="D62" s="116">
        <v>683</v>
      </c>
      <c r="E62" s="116">
        <v>658</v>
      </c>
      <c r="F62" s="117">
        <v>483</v>
      </c>
      <c r="G62" s="124">
        <f t="shared" si="27"/>
        <v>483</v>
      </c>
      <c r="H62" s="124">
        <f t="shared" si="27"/>
        <v>483</v>
      </c>
      <c r="I62" s="124">
        <f t="shared" si="27"/>
        <v>483</v>
      </c>
      <c r="J62" s="124">
        <f t="shared" si="27"/>
        <v>483</v>
      </c>
      <c r="K62" s="124">
        <f t="shared" si="27"/>
        <v>483</v>
      </c>
    </row>
    <row r="63" spans="2:11" x14ac:dyDescent="0.2">
      <c r="B63" s="26" t="s">
        <v>44</v>
      </c>
      <c r="C63" s="116">
        <f>8462+15552</f>
        <v>24014</v>
      </c>
      <c r="D63" s="116">
        <f>8435+16985</f>
        <v>25420</v>
      </c>
      <c r="E63" s="116">
        <f>9691+16375</f>
        <v>26066</v>
      </c>
      <c r="F63" s="117">
        <f>10460+21953</f>
        <v>32413</v>
      </c>
      <c r="G63" s="124">
        <f t="shared" si="27"/>
        <v>32413</v>
      </c>
      <c r="H63" s="124">
        <f t="shared" si="27"/>
        <v>32413</v>
      </c>
      <c r="I63" s="124">
        <f t="shared" si="27"/>
        <v>32413</v>
      </c>
      <c r="J63" s="124">
        <f t="shared" si="27"/>
        <v>32413</v>
      </c>
      <c r="K63" s="124">
        <f t="shared" si="27"/>
        <v>32413</v>
      </c>
    </row>
    <row r="64" spans="2:11" x14ac:dyDescent="0.2">
      <c r="B64" s="26" t="s">
        <v>45</v>
      </c>
      <c r="C64" s="128">
        <f>SUM(C59:C63)</f>
        <v>255884</v>
      </c>
      <c r="D64" s="128">
        <f>SUM(D59:D63)</f>
        <v>273310</v>
      </c>
      <c r="E64" s="128">
        <f>SUM(E59:E63)</f>
        <v>285196</v>
      </c>
      <c r="F64" s="129">
        <f>SUM(F59:F63)</f>
        <v>289160</v>
      </c>
      <c r="G64" s="129">
        <f t="shared" ref="G64:K64" ca="1" si="28">SUM(G59:G63)</f>
        <v>231471.26701141111</v>
      </c>
      <c r="H64" s="129">
        <f t="shared" ca="1" si="28"/>
        <v>263746.33689702628</v>
      </c>
      <c r="I64" s="129">
        <f t="shared" ca="1" si="28"/>
        <v>269092.09887241002</v>
      </c>
      <c r="J64" s="129">
        <f t="shared" ca="1" si="28"/>
        <v>280237.38403872674</v>
      </c>
      <c r="K64" s="129">
        <f t="shared" ca="1" si="28"/>
        <v>297945.42166578537</v>
      </c>
    </row>
    <row r="65" spans="2:11" x14ac:dyDescent="0.2">
      <c r="B65" s="5" t="s">
        <v>46</v>
      </c>
      <c r="C65" s="117"/>
      <c r="D65" s="117"/>
      <c r="E65" s="123"/>
      <c r="F65" s="124"/>
      <c r="G65" s="124"/>
      <c r="H65" s="124"/>
      <c r="I65" s="124"/>
      <c r="J65" s="124"/>
      <c r="K65" s="124"/>
    </row>
    <row r="66" spans="2:11" x14ac:dyDescent="0.2">
      <c r="B66" s="26" t="s">
        <v>47</v>
      </c>
      <c r="C66" s="116">
        <v>50568</v>
      </c>
      <c r="D66" s="116">
        <v>50150</v>
      </c>
      <c r="E66" s="116">
        <v>55507</v>
      </c>
      <c r="F66" s="117">
        <v>57869</v>
      </c>
      <c r="G66" s="124">
        <f ca="1">G120+G127</f>
        <v>1184</v>
      </c>
      <c r="H66" s="124">
        <f t="shared" ref="H66:J66" ca="1" si="29">H120+H127</f>
        <v>17847.72500810105</v>
      </c>
      <c r="I66" s="124">
        <f t="shared" ca="1" si="29"/>
        <v>6575.3007143906598</v>
      </c>
      <c r="J66" s="124">
        <f t="shared" ca="1" si="29"/>
        <v>685</v>
      </c>
      <c r="K66" s="124">
        <f ca="1">K120+K127</f>
        <v>0</v>
      </c>
    </row>
    <row r="67" spans="2:11" x14ac:dyDescent="0.2">
      <c r="B67" s="26" t="s">
        <v>48</v>
      </c>
      <c r="C67" s="116">
        <v>25605</v>
      </c>
      <c r="D67" s="116">
        <v>25992</v>
      </c>
      <c r="E67" s="116">
        <v>24128</v>
      </c>
      <c r="F67" s="117">
        <v>25809</v>
      </c>
      <c r="G67" s="124">
        <f>G30*G40/365</f>
        <v>22475.980096075498</v>
      </c>
      <c r="H67" s="124">
        <f t="shared" ref="H67:K67" si="30">H30*H40/365</f>
        <v>23074.76506459275</v>
      </c>
      <c r="I67" s="124">
        <f t="shared" si="30"/>
        <v>23689.502326936108</v>
      </c>
      <c r="J67" s="124">
        <f t="shared" si="30"/>
        <v>24320.61686985656</v>
      </c>
      <c r="K67" s="124">
        <f t="shared" si="30"/>
        <v>24968.545002222185</v>
      </c>
    </row>
    <row r="68" spans="2:11" x14ac:dyDescent="0.2">
      <c r="B68" s="26" t="s">
        <v>49</v>
      </c>
      <c r="C68" s="116"/>
      <c r="D68" s="116"/>
      <c r="E68" s="116"/>
      <c r="F68" s="117">
        <f>E68</f>
        <v>0</v>
      </c>
      <c r="G68" s="124">
        <f t="shared" ref="G68:K68" si="31">F68</f>
        <v>0</v>
      </c>
      <c r="H68" s="124">
        <f t="shared" si="31"/>
        <v>0</v>
      </c>
      <c r="I68" s="124">
        <f t="shared" si="31"/>
        <v>0</v>
      </c>
      <c r="J68" s="124">
        <f t="shared" si="31"/>
        <v>0</v>
      </c>
      <c r="K68" s="124">
        <f t="shared" si="31"/>
        <v>0</v>
      </c>
    </row>
    <row r="69" spans="2:11" x14ac:dyDescent="0.2">
      <c r="B69" s="26" t="s">
        <v>50</v>
      </c>
      <c r="C69" s="116">
        <v>20693</v>
      </c>
      <c r="D69" s="116">
        <v>25389</v>
      </c>
      <c r="E69" s="116">
        <v>27224</v>
      </c>
      <c r="F69" s="117">
        <v>31212</v>
      </c>
      <c r="G69" s="124">
        <f>G32*G40</f>
        <v>28096.212858550109</v>
      </c>
      <c r="H69" s="124">
        <f t="shared" ref="H69:K69" si="32">H32*H40</f>
        <v>28844.727043918094</v>
      </c>
      <c r="I69" s="124">
        <f t="shared" si="32"/>
        <v>29613.182475051759</v>
      </c>
      <c r="J69" s="124">
        <f t="shared" si="32"/>
        <v>30402.110408793596</v>
      </c>
      <c r="K69" s="124">
        <f t="shared" si="32"/>
        <v>31212.056255255979</v>
      </c>
    </row>
    <row r="70" spans="2:11" x14ac:dyDescent="0.2">
      <c r="B70" s="26" t="s">
        <v>51</v>
      </c>
      <c r="C70" s="128">
        <f>SUM(C66:C69)</f>
        <v>96866</v>
      </c>
      <c r="D70" s="128">
        <f t="shared" ref="D70:E70" si="33">SUM(D66:D69)</f>
        <v>101531</v>
      </c>
      <c r="E70" s="128">
        <f t="shared" si="33"/>
        <v>106859</v>
      </c>
      <c r="F70" s="129">
        <f>SUM(F66:F69)</f>
        <v>114890</v>
      </c>
      <c r="G70" s="129">
        <f t="shared" ref="G70:K70" ca="1" si="34">SUM(G66:G69)</f>
        <v>51756.192954625607</v>
      </c>
      <c r="H70" s="129">
        <f t="shared" ca="1" si="34"/>
        <v>69767.217116611893</v>
      </c>
      <c r="I70" s="129">
        <f t="shared" ca="1" si="34"/>
        <v>59877.985516378525</v>
      </c>
      <c r="J70" s="129">
        <f t="shared" ca="1" si="34"/>
        <v>55407.727278650156</v>
      </c>
      <c r="K70" s="129">
        <f t="shared" ca="1" si="34"/>
        <v>56180.601257478163</v>
      </c>
    </row>
    <row r="71" spans="2:11" x14ac:dyDescent="0.2">
      <c r="B71" s="26"/>
      <c r="C71" s="123"/>
      <c r="D71" s="123"/>
      <c r="E71" s="123"/>
      <c r="F71" s="124"/>
      <c r="G71" s="124"/>
      <c r="H71" s="124"/>
      <c r="I71" s="124"/>
      <c r="J71" s="124"/>
      <c r="K71" s="124"/>
    </row>
    <row r="72" spans="2:11" x14ac:dyDescent="0.2">
      <c r="B72" s="26" t="s">
        <v>52</v>
      </c>
      <c r="C72" s="116">
        <v>89906</v>
      </c>
      <c r="D72" s="116">
        <v>100957</v>
      </c>
      <c r="E72" s="116">
        <v>105355</v>
      </c>
      <c r="F72" s="117">
        <v>107869</v>
      </c>
      <c r="G72" s="124">
        <f>G134</f>
        <v>98618</v>
      </c>
      <c r="H72" s="124">
        <f>H134</f>
        <v>97795</v>
      </c>
      <c r="I72" s="124">
        <f t="shared" ref="I72:K72" si="35">I134</f>
        <v>97335</v>
      </c>
      <c r="J72" s="124">
        <f t="shared" si="35"/>
        <v>96650</v>
      </c>
      <c r="K72" s="124">
        <f t="shared" si="35"/>
        <v>96650</v>
      </c>
    </row>
    <row r="73" spans="2:11" x14ac:dyDescent="0.2">
      <c r="B73" s="26" t="s">
        <v>53</v>
      </c>
      <c r="C73" s="116">
        <f>10637+1549+13759</f>
        <v>25945</v>
      </c>
      <c r="D73" s="116">
        <f>11585+1005+15434</f>
        <v>28024</v>
      </c>
      <c r="E73" s="116">
        <f>9356+1074+17694</f>
        <v>28124</v>
      </c>
      <c r="F73" s="117">
        <f>8524+1354+20543</f>
        <v>30421</v>
      </c>
      <c r="G73" s="124">
        <f>F73</f>
        <v>30421</v>
      </c>
      <c r="H73" s="124">
        <f t="shared" ref="H73:K73" si="36">G73</f>
        <v>30421</v>
      </c>
      <c r="I73" s="124">
        <f t="shared" si="36"/>
        <v>30421</v>
      </c>
      <c r="J73" s="124">
        <f t="shared" si="36"/>
        <v>30421</v>
      </c>
      <c r="K73" s="124">
        <f t="shared" si="36"/>
        <v>30421</v>
      </c>
    </row>
    <row r="74" spans="2:11" x14ac:dyDescent="0.2">
      <c r="B74" s="26" t="s">
        <v>54</v>
      </c>
      <c r="C74" s="128">
        <f>SUM(C70:C73)</f>
        <v>212717</v>
      </c>
      <c r="D74" s="128">
        <f t="shared" ref="D74:E74" si="37">SUM(D70:D73)</f>
        <v>230512</v>
      </c>
      <c r="E74" s="128">
        <f t="shared" si="37"/>
        <v>240338</v>
      </c>
      <c r="F74" s="129">
        <f>SUM(F70:F73)</f>
        <v>253180</v>
      </c>
      <c r="G74" s="129">
        <f t="shared" ref="G74:K74" ca="1" si="38">SUM(G70:G73)</f>
        <v>180795.19295462561</v>
      </c>
      <c r="H74" s="129">
        <f t="shared" ca="1" si="38"/>
        <v>197983.21711661189</v>
      </c>
      <c r="I74" s="129">
        <f t="shared" ca="1" si="38"/>
        <v>187633.98551637854</v>
      </c>
      <c r="J74" s="129">
        <f t="shared" ca="1" si="38"/>
        <v>182478.72727865016</v>
      </c>
      <c r="K74" s="129">
        <f t="shared" ca="1" si="38"/>
        <v>183251.60125747818</v>
      </c>
    </row>
    <row r="75" spans="2:11" x14ac:dyDescent="0.2">
      <c r="B75" s="26"/>
      <c r="C75" s="123"/>
      <c r="D75" s="123"/>
      <c r="E75" s="123"/>
      <c r="F75" s="124"/>
      <c r="G75" s="124"/>
      <c r="H75" s="124"/>
      <c r="I75" s="124"/>
      <c r="J75" s="124"/>
      <c r="K75" s="124"/>
    </row>
    <row r="76" spans="2:11" x14ac:dyDescent="0.2">
      <c r="B76" s="26" t="s">
        <v>55</v>
      </c>
      <c r="C76" s="126">
        <f>43242-75</f>
        <v>43167</v>
      </c>
      <c r="D76" s="126">
        <f>42773+25</f>
        <v>42798</v>
      </c>
      <c r="E76" s="126">
        <f>44835+23</f>
        <v>44858</v>
      </c>
      <c r="F76" s="131">
        <f>35952+28</f>
        <v>35980</v>
      </c>
      <c r="G76" s="127">
        <f ca="1">F76+G49+G99+G100</f>
        <v>50676.074056785495</v>
      </c>
      <c r="H76" s="127">
        <f ca="1">G76+H49+H99+H100</f>
        <v>65763.119780414403</v>
      </c>
      <c r="I76" s="127">
        <f t="shared" ref="I76:J76" ca="1" si="39">H76+I49+I99+I100</f>
        <v>81458.113356031463</v>
      </c>
      <c r="J76" s="127">
        <f t="shared" ca="1" si="39"/>
        <v>97758.656760076556</v>
      </c>
      <c r="K76" s="127">
        <f ca="1">J76+K49+K99+K100</f>
        <v>114693.82040830719</v>
      </c>
    </row>
    <row r="77" spans="2:11" x14ac:dyDescent="0.2">
      <c r="B77" s="26" t="s">
        <v>56</v>
      </c>
      <c r="C77" s="124">
        <f>C74+C76</f>
        <v>255884</v>
      </c>
      <c r="D77" s="124">
        <f t="shared" ref="D77:E77" si="40">D74+D76</f>
        <v>273310</v>
      </c>
      <c r="E77" s="124">
        <f t="shared" si="40"/>
        <v>285196</v>
      </c>
      <c r="F77" s="124">
        <f>F74+F76</f>
        <v>289160</v>
      </c>
      <c r="G77" s="124">
        <f ca="1">G74+G76</f>
        <v>231471.26701141111</v>
      </c>
      <c r="H77" s="124">
        <f ca="1">H74+H76</f>
        <v>263746.33689702628</v>
      </c>
      <c r="I77" s="124">
        <f t="shared" ref="I77:K77" ca="1" si="41">I74+I76</f>
        <v>269092.09887241002</v>
      </c>
      <c r="J77" s="124">
        <f t="shared" ca="1" si="41"/>
        <v>280237.38403872668</v>
      </c>
      <c r="K77" s="124">
        <f t="shared" ca="1" si="41"/>
        <v>297945.42166578537</v>
      </c>
    </row>
    <row r="78" spans="2:11" x14ac:dyDescent="0.2">
      <c r="B78" s="26" t="s">
        <v>57</v>
      </c>
      <c r="C78" s="7">
        <f>C64-C77</f>
        <v>0</v>
      </c>
      <c r="D78" s="7">
        <f t="shared" ref="D78:K78" si="42">D64-D77</f>
        <v>0</v>
      </c>
      <c r="E78" s="7">
        <f>E64-E77</f>
        <v>0</v>
      </c>
      <c r="F78" s="21">
        <f>F64-F77</f>
        <v>0</v>
      </c>
      <c r="G78" s="7">
        <f t="shared" ca="1" si="42"/>
        <v>0</v>
      </c>
      <c r="H78" s="7">
        <f t="shared" ca="1" si="42"/>
        <v>0</v>
      </c>
      <c r="I78" s="7">
        <f t="shared" ca="1" si="42"/>
        <v>0</v>
      </c>
      <c r="J78" s="7">
        <f t="shared" ca="1" si="42"/>
        <v>0</v>
      </c>
      <c r="K78" s="7">
        <f t="shared" ca="1" si="42"/>
        <v>0</v>
      </c>
    </row>
    <row r="79" spans="2:11" x14ac:dyDescent="0.2">
      <c r="B79" s="26"/>
      <c r="C79" s="6"/>
      <c r="D79" s="6"/>
      <c r="E79" s="108"/>
      <c r="F79" s="108"/>
      <c r="G79" s="108"/>
      <c r="H79" s="108"/>
      <c r="I79" s="108"/>
      <c r="J79" s="108"/>
      <c r="K79" s="108"/>
    </row>
    <row r="80" spans="2:11" x14ac:dyDescent="0.2">
      <c r="B80" s="24" t="s">
        <v>58</v>
      </c>
      <c r="C80" s="103"/>
      <c r="D80" s="103"/>
      <c r="E80" s="107"/>
      <c r="F80" s="107"/>
      <c r="G80" s="107"/>
      <c r="H80" s="107"/>
      <c r="I80" s="107"/>
      <c r="J80" s="107"/>
      <c r="K80" s="107"/>
    </row>
    <row r="81" spans="2:12" x14ac:dyDescent="0.2">
      <c r="B81" s="5" t="s">
        <v>59</v>
      </c>
      <c r="C81" s="9"/>
      <c r="D81" s="9"/>
      <c r="E81" s="9"/>
      <c r="F81" s="108"/>
      <c r="G81" s="108"/>
      <c r="H81" s="108"/>
      <c r="I81" s="108"/>
      <c r="J81" s="108"/>
      <c r="K81" s="108"/>
    </row>
    <row r="82" spans="2:12" x14ac:dyDescent="0.2">
      <c r="B82" s="26" t="s">
        <v>60</v>
      </c>
      <c r="C82" s="132">
        <v>-2152</v>
      </c>
      <c r="D82" s="132">
        <v>4329</v>
      </c>
      <c r="E82" s="132">
        <v>5894</v>
      </c>
      <c r="F82" s="133">
        <v>-8162</v>
      </c>
      <c r="G82" s="134">
        <f ca="1">G49</f>
        <v>18111.074056785499</v>
      </c>
      <c r="H82" s="134">
        <f t="shared" ref="H82:K82" ca="1" si="43">H49</f>
        <v>18502.045723628911</v>
      </c>
      <c r="I82" s="134">
        <f t="shared" ca="1" si="43"/>
        <v>19109.993575617063</v>
      </c>
      <c r="J82" s="134">
        <f t="shared" ca="1" si="43"/>
        <v>19715.543404045093</v>
      </c>
      <c r="K82" s="134">
        <f t="shared" ca="1" si="43"/>
        <v>20350.163648230635</v>
      </c>
    </row>
    <row r="83" spans="2:12" x14ac:dyDescent="0.2">
      <c r="B83" s="26" t="s">
        <v>94</v>
      </c>
      <c r="C83" s="135">
        <v>6493</v>
      </c>
      <c r="D83" s="135">
        <v>6523</v>
      </c>
      <c r="E83" s="135">
        <v>5867</v>
      </c>
      <c r="F83" s="133">
        <v>5995</v>
      </c>
      <c r="G83" s="134">
        <f>G19*F60</f>
        <v>5995</v>
      </c>
      <c r="H83" s="134">
        <f t="shared" ref="H83:K83" si="44">H19*G60</f>
        <v>6261.2795936211751</v>
      </c>
      <c r="I83" s="134">
        <f t="shared" si="44"/>
        <v>6525.2879950580746</v>
      </c>
      <c r="J83" s="134">
        <f t="shared" si="44"/>
        <v>6787.78772118501</v>
      </c>
      <c r="K83" s="134">
        <f t="shared" si="44"/>
        <v>7049.4892747384838</v>
      </c>
    </row>
    <row r="84" spans="2:12" x14ac:dyDescent="0.2">
      <c r="B84" s="26" t="s">
        <v>95</v>
      </c>
      <c r="C84" s="135">
        <f>-1149+11037</f>
        <v>9888</v>
      </c>
      <c r="D84" s="135">
        <f>-1649+3879</f>
        <v>2230</v>
      </c>
      <c r="E84" s="135">
        <f>350+1217</f>
        <v>1567</v>
      </c>
      <c r="F84" s="133">
        <f>-4536+14762</f>
        <v>10226</v>
      </c>
      <c r="G84" s="133">
        <v>0</v>
      </c>
      <c r="H84" s="133">
        <v>0</v>
      </c>
      <c r="I84" s="133">
        <v>0</v>
      </c>
      <c r="J84" s="133">
        <v>0</v>
      </c>
      <c r="K84" s="133">
        <v>0</v>
      </c>
    </row>
    <row r="85" spans="2:12" x14ac:dyDescent="0.2">
      <c r="B85" s="26" t="s">
        <v>61</v>
      </c>
      <c r="C85" s="135">
        <v>-6615</v>
      </c>
      <c r="D85" s="135">
        <v>1836</v>
      </c>
      <c r="E85" s="135">
        <v>2095</v>
      </c>
      <c r="F85" s="133">
        <v>13223</v>
      </c>
      <c r="G85" s="134"/>
      <c r="H85" s="134"/>
      <c r="I85" s="134"/>
      <c r="J85" s="134"/>
      <c r="K85" s="134"/>
    </row>
    <row r="86" spans="2:12" x14ac:dyDescent="0.2">
      <c r="B86" s="27" t="s">
        <v>62</v>
      </c>
      <c r="C86" s="136"/>
      <c r="D86" s="136"/>
      <c r="E86" s="136"/>
      <c r="F86" s="136"/>
      <c r="G86" s="136">
        <f>-(G56-F56)</f>
        <v>-2787.982858699077</v>
      </c>
      <c r="H86" s="136">
        <f t="shared" ref="H86:K88" si="45">-(H56-G56)</f>
        <v>-1801.7375430911488</v>
      </c>
      <c r="I86" s="136">
        <f t="shared" si="45"/>
        <v>-1849.7378239867685</v>
      </c>
      <c r="J86" s="136">
        <f t="shared" si="45"/>
        <v>-1899.0168854544609</v>
      </c>
      <c r="K86" s="136">
        <f t="shared" si="45"/>
        <v>-1949.608795623004</v>
      </c>
    </row>
    <row r="87" spans="2:12" x14ac:dyDescent="0.2">
      <c r="B87" s="27" t="s">
        <v>38</v>
      </c>
      <c r="C87" s="136"/>
      <c r="D87" s="136"/>
      <c r="E87" s="136"/>
      <c r="F87" s="136"/>
      <c r="G87" s="136">
        <f>-(G57-F57)</f>
        <v>1676.178200834278</v>
      </c>
      <c r="H87" s="136">
        <f t="shared" si="45"/>
        <v>-362.5540642827491</v>
      </c>
      <c r="I87" s="136">
        <f t="shared" si="45"/>
        <v>-372.2129055452624</v>
      </c>
      <c r="J87" s="136">
        <f t="shared" si="45"/>
        <v>-382.12906902182112</v>
      </c>
      <c r="K87" s="136">
        <f t="shared" si="45"/>
        <v>-392.30941006082139</v>
      </c>
    </row>
    <row r="88" spans="2:12" x14ac:dyDescent="0.2">
      <c r="B88" s="27" t="s">
        <v>39</v>
      </c>
      <c r="C88" s="137"/>
      <c r="D88" s="137"/>
      <c r="E88" s="137"/>
      <c r="F88" s="136"/>
      <c r="G88" s="136">
        <f>-(G58-F58)</f>
        <v>-129.82210960820703</v>
      </c>
      <c r="H88" s="136">
        <f t="shared" si="45"/>
        <v>-133.28071419329171</v>
      </c>
      <c r="I88" s="136">
        <f t="shared" si="45"/>
        <v>-136.83145982979204</v>
      </c>
      <c r="J88" s="136">
        <f t="shared" si="45"/>
        <v>-140.476801257224</v>
      </c>
      <c r="K88" s="136">
        <f t="shared" si="45"/>
        <v>-144.21925861208183</v>
      </c>
    </row>
    <row r="89" spans="2:12" x14ac:dyDescent="0.2">
      <c r="B89" s="27" t="s">
        <v>48</v>
      </c>
      <c r="C89" s="137"/>
      <c r="D89" s="137"/>
      <c r="E89" s="137"/>
      <c r="F89" s="136"/>
      <c r="G89" s="136">
        <f>G67-F67</f>
        <v>-3333.0199039245017</v>
      </c>
      <c r="H89" s="136">
        <f t="shared" ref="H89:K89" si="46">H67-G67</f>
        <v>598.7849685172514</v>
      </c>
      <c r="I89" s="136">
        <f t="shared" si="46"/>
        <v>614.73726234335845</v>
      </c>
      <c r="J89" s="136">
        <f t="shared" si="46"/>
        <v>631.11454292045164</v>
      </c>
      <c r="K89" s="136">
        <f t="shared" si="46"/>
        <v>647.92813236562506</v>
      </c>
    </row>
    <row r="90" spans="2:12" x14ac:dyDescent="0.2">
      <c r="B90" s="27" t="s">
        <v>50</v>
      </c>
      <c r="C90" s="136"/>
      <c r="D90" s="136"/>
      <c r="E90" s="136"/>
      <c r="F90" s="136"/>
      <c r="G90" s="136">
        <f>G69-F69</f>
        <v>-3115.7871414498914</v>
      </c>
      <c r="H90" s="136">
        <f t="shared" ref="H90:K90" si="47">H69-G69</f>
        <v>748.51418536798519</v>
      </c>
      <c r="I90" s="136">
        <f t="shared" si="47"/>
        <v>768.45543113366512</v>
      </c>
      <c r="J90" s="136">
        <f t="shared" si="47"/>
        <v>788.92793374183748</v>
      </c>
      <c r="K90" s="136">
        <f t="shared" si="47"/>
        <v>809.94584646238218</v>
      </c>
    </row>
    <row r="91" spans="2:12" x14ac:dyDescent="0.2">
      <c r="B91" s="26"/>
      <c r="C91" s="136"/>
      <c r="D91" s="136"/>
      <c r="E91" s="136"/>
      <c r="F91" s="136"/>
      <c r="G91" s="136"/>
      <c r="H91" s="136"/>
      <c r="I91" s="136"/>
      <c r="J91" s="136"/>
      <c r="K91" s="136"/>
    </row>
    <row r="92" spans="2:12" x14ac:dyDescent="0.2">
      <c r="B92" s="26" t="s">
        <v>63</v>
      </c>
      <c r="C92" s="136">
        <f>SUM(C82:C91)</f>
        <v>7614</v>
      </c>
      <c r="D92" s="136">
        <f>SUM(D82:D91)</f>
        <v>14918</v>
      </c>
      <c r="E92" s="136">
        <f t="shared" ref="E92:J92" si="48">SUM(E82:E91)</f>
        <v>15423</v>
      </c>
      <c r="F92" s="136">
        <f>SUM(F82:F91)</f>
        <v>21282</v>
      </c>
      <c r="G92" s="136">
        <f t="shared" ca="1" si="48"/>
        <v>16415.640243938098</v>
      </c>
      <c r="H92" s="136">
        <f t="shared" ca="1" si="48"/>
        <v>23813.052149568131</v>
      </c>
      <c r="I92" s="136">
        <f t="shared" ca="1" si="48"/>
        <v>24659.692074790339</v>
      </c>
      <c r="J92" s="136">
        <f t="shared" ca="1" si="48"/>
        <v>25501.750846158888</v>
      </c>
      <c r="K92" s="136">
        <f ca="1">SUM(K82:K91)</f>
        <v>26371.389437501217</v>
      </c>
      <c r="L92" t="s">
        <v>242</v>
      </c>
    </row>
    <row r="93" spans="2:12" x14ac:dyDescent="0.2">
      <c r="B93" s="5" t="s">
        <v>64</v>
      </c>
      <c r="C93" s="136"/>
      <c r="D93" s="136"/>
      <c r="E93" s="136"/>
      <c r="F93" s="136"/>
      <c r="G93" s="136"/>
      <c r="H93" s="136"/>
      <c r="I93" s="136"/>
      <c r="J93" s="136"/>
      <c r="K93" s="136"/>
    </row>
    <row r="94" spans="2:12" x14ac:dyDescent="0.2">
      <c r="B94" s="26" t="s">
        <v>65</v>
      </c>
      <c r="C94" s="135">
        <v>-6866</v>
      </c>
      <c r="D94" s="135">
        <v>-8236</v>
      </c>
      <c r="E94" s="135">
        <v>-8684</v>
      </c>
      <c r="F94" s="133">
        <f>-8815</f>
        <v>-8815</v>
      </c>
      <c r="G94" s="136">
        <f>-G36*G39</f>
        <v>-9024.9908320359791</v>
      </c>
      <c r="H94" s="136">
        <f t="shared" ref="H94:K94" si="49">-H36*H39</f>
        <v>-9265.426569571302</v>
      </c>
      <c r="I94" s="136">
        <f t="shared" si="49"/>
        <v>-9512.267781079956</v>
      </c>
      <c r="J94" s="136">
        <f t="shared" si="49"/>
        <v>-9765.6851154731376</v>
      </c>
      <c r="K94" s="136">
        <f t="shared" si="49"/>
        <v>-10025.853767937775</v>
      </c>
    </row>
    <row r="95" spans="2:12" x14ac:dyDescent="0.2">
      <c r="B95" s="26" t="s">
        <v>96</v>
      </c>
      <c r="C95" s="135">
        <v>1149</v>
      </c>
      <c r="D95" s="135">
        <v>-10769</v>
      </c>
      <c r="E95" s="135">
        <v>-14874</v>
      </c>
      <c r="F95" s="133">
        <v>-10370</v>
      </c>
      <c r="G95" s="133">
        <v>0</v>
      </c>
      <c r="H95" s="133">
        <v>0</v>
      </c>
      <c r="I95" s="133">
        <v>0</v>
      </c>
      <c r="J95" s="133">
        <v>0</v>
      </c>
      <c r="K95" s="133">
        <v>0</v>
      </c>
    </row>
    <row r="96" spans="2:12" ht="16" x14ac:dyDescent="0.2">
      <c r="B96" s="26" t="s">
        <v>66</v>
      </c>
      <c r="C96" s="135">
        <v>921</v>
      </c>
      <c r="D96" s="135">
        <v>1377</v>
      </c>
      <c r="E96" s="135">
        <v>-812</v>
      </c>
      <c r="F96" s="135">
        <v>1136</v>
      </c>
      <c r="G96" s="135" t="s">
        <v>93</v>
      </c>
      <c r="H96" s="135" t="s">
        <v>93</v>
      </c>
      <c r="I96" s="135" t="s">
        <v>93</v>
      </c>
      <c r="J96" s="135" t="s">
        <v>93</v>
      </c>
      <c r="K96" s="135" t="s">
        <v>93</v>
      </c>
    </row>
    <row r="97" spans="2:11" x14ac:dyDescent="0.2">
      <c r="B97" s="26" t="s">
        <v>67</v>
      </c>
      <c r="C97" s="138">
        <f>SUM(C94:C96)</f>
        <v>-4796</v>
      </c>
      <c r="D97" s="138">
        <f t="shared" ref="D97:K97" si="50">SUM(D94:D96)</f>
        <v>-17628</v>
      </c>
      <c r="E97" s="138">
        <f t="shared" si="50"/>
        <v>-24370</v>
      </c>
      <c r="F97" s="138">
        <f t="shared" si="50"/>
        <v>-18049</v>
      </c>
      <c r="G97" s="138">
        <f>SUM(G94:G96)</f>
        <v>-9024.9908320359791</v>
      </c>
      <c r="H97" s="138">
        <f t="shared" si="50"/>
        <v>-9265.426569571302</v>
      </c>
      <c r="I97" s="138">
        <f t="shared" si="50"/>
        <v>-9512.267781079956</v>
      </c>
      <c r="J97" s="138">
        <f t="shared" si="50"/>
        <v>-9765.6851154731376</v>
      </c>
      <c r="K97" s="138">
        <f t="shared" si="50"/>
        <v>-10025.853767937775</v>
      </c>
    </row>
    <row r="98" spans="2:11" x14ac:dyDescent="0.2">
      <c r="B98" s="5" t="s">
        <v>68</v>
      </c>
      <c r="C98" s="136"/>
      <c r="D98" s="136"/>
      <c r="E98" s="136"/>
      <c r="F98" s="136"/>
      <c r="G98" s="136"/>
      <c r="H98" s="136"/>
      <c r="I98" s="136"/>
      <c r="J98" s="136"/>
      <c r="K98" s="136"/>
    </row>
    <row r="99" spans="2:11" x14ac:dyDescent="0.2">
      <c r="B99" s="26" t="s">
        <v>69</v>
      </c>
      <c r="C99" s="139">
        <v>-2009</v>
      </c>
      <c r="D99" s="139">
        <v>-4995</v>
      </c>
      <c r="E99" s="139">
        <v>-3118</v>
      </c>
      <c r="F99" s="139">
        <v>-2989</v>
      </c>
      <c r="G99" s="140">
        <f>F99</f>
        <v>-2989</v>
      </c>
      <c r="H99" s="140">
        <f t="shared" ref="H99:K100" si="51">G99</f>
        <v>-2989</v>
      </c>
      <c r="I99" s="140">
        <f t="shared" si="51"/>
        <v>-2989</v>
      </c>
      <c r="J99" s="140">
        <f t="shared" si="51"/>
        <v>-2989</v>
      </c>
      <c r="K99" s="140">
        <f t="shared" si="51"/>
        <v>-2989</v>
      </c>
    </row>
    <row r="100" spans="2:11" x14ac:dyDescent="0.2">
      <c r="B100" s="26" t="s">
        <v>70</v>
      </c>
      <c r="C100" s="135">
        <v>-484</v>
      </c>
      <c r="D100" s="135">
        <v>-335</v>
      </c>
      <c r="E100" s="141">
        <v>-426</v>
      </c>
      <c r="F100" s="141">
        <v>-426</v>
      </c>
      <c r="G100" s="142">
        <f>F100</f>
        <v>-426</v>
      </c>
      <c r="H100" s="142">
        <f t="shared" si="51"/>
        <v>-426</v>
      </c>
      <c r="I100" s="142">
        <f t="shared" si="51"/>
        <v>-426</v>
      </c>
      <c r="J100" s="142">
        <f t="shared" si="51"/>
        <v>-426</v>
      </c>
      <c r="K100" s="142">
        <f t="shared" si="51"/>
        <v>-426</v>
      </c>
    </row>
    <row r="101" spans="2:11" x14ac:dyDescent="0.2">
      <c r="B101" s="26" t="s">
        <v>71</v>
      </c>
      <c r="C101" s="139">
        <v>5275</v>
      </c>
      <c r="D101" s="139">
        <v>8155</v>
      </c>
      <c r="E101" s="132">
        <v>11356</v>
      </c>
      <c r="F101" s="133">
        <v>39</v>
      </c>
      <c r="G101" s="136">
        <f ca="1">G66-F66+G72-F72</f>
        <v>-65936</v>
      </c>
      <c r="H101" s="136">
        <f t="shared" ref="H101:J101" ca="1" si="52">H66-G66+H72-G72</f>
        <v>15840.725008101057</v>
      </c>
      <c r="I101" s="136">
        <f t="shared" ca="1" si="52"/>
        <v>-11732.424293710385</v>
      </c>
      <c r="J101" s="136">
        <f t="shared" ca="1" si="52"/>
        <v>-6575.300714390658</v>
      </c>
      <c r="K101" s="136">
        <f ca="1">K66-J66+K72-J72</f>
        <v>-685</v>
      </c>
    </row>
    <row r="102" spans="2:11" x14ac:dyDescent="0.2">
      <c r="B102" s="26" t="s">
        <v>72</v>
      </c>
      <c r="C102" s="135">
        <v>-271</v>
      </c>
      <c r="D102" s="135">
        <v>-241</v>
      </c>
      <c r="E102" s="135">
        <v>-327</v>
      </c>
      <c r="F102" s="133">
        <v>-255</v>
      </c>
      <c r="G102" s="133">
        <v>0</v>
      </c>
      <c r="H102" s="133">
        <v>0</v>
      </c>
      <c r="I102" s="133">
        <v>0</v>
      </c>
      <c r="J102" s="133">
        <v>0</v>
      </c>
      <c r="K102" s="133">
        <v>0</v>
      </c>
    </row>
    <row r="103" spans="2:11" x14ac:dyDescent="0.2">
      <c r="B103" s="26" t="s">
        <v>73</v>
      </c>
      <c r="C103" s="143">
        <f>SUM(C99:C102)</f>
        <v>2511</v>
      </c>
      <c r="D103" s="143">
        <f t="shared" ref="D103:K103" si="53">SUM(D99:D102)</f>
        <v>2584</v>
      </c>
      <c r="E103" s="143">
        <f t="shared" si="53"/>
        <v>7485</v>
      </c>
      <c r="F103" s="143">
        <f t="shared" si="53"/>
        <v>-3631</v>
      </c>
      <c r="G103" s="143">
        <f t="shared" ca="1" si="53"/>
        <v>-69351</v>
      </c>
      <c r="H103" s="143">
        <f ca="1">SUM(H99:H102)</f>
        <v>12425.725008101057</v>
      </c>
      <c r="I103" s="143">
        <f t="shared" ca="1" si="53"/>
        <v>-15147.424293710385</v>
      </c>
      <c r="J103" s="143">
        <f t="shared" ca="1" si="53"/>
        <v>-9990.300714390658</v>
      </c>
      <c r="K103" s="143">
        <f t="shared" ca="1" si="53"/>
        <v>-4100</v>
      </c>
    </row>
    <row r="104" spans="2:11" x14ac:dyDescent="0.2">
      <c r="B104" s="26"/>
      <c r="C104" s="136"/>
      <c r="D104" s="136"/>
      <c r="E104" s="136"/>
      <c r="F104" s="136"/>
      <c r="G104" s="136"/>
      <c r="H104" s="136"/>
      <c r="I104" s="136"/>
      <c r="J104" s="136"/>
      <c r="K104" s="136"/>
    </row>
    <row r="105" spans="2:11" x14ac:dyDescent="0.2">
      <c r="B105" s="26" t="s">
        <v>74</v>
      </c>
      <c r="C105" s="137"/>
      <c r="D105" s="137">
        <f>D55-C55-D92-D97-D103</f>
        <v>-3773</v>
      </c>
      <c r="E105" s="137">
        <f>E55-D55-E92-E97-E103</f>
        <v>-361</v>
      </c>
      <c r="F105" s="137">
        <f>F55-E55-F92-F97-F103</f>
        <v>537</v>
      </c>
      <c r="G105" s="135">
        <v>0</v>
      </c>
      <c r="H105" s="135">
        <v>0</v>
      </c>
      <c r="I105" s="135">
        <v>0</v>
      </c>
      <c r="J105" s="135">
        <v>0</v>
      </c>
      <c r="K105" s="135">
        <v>0</v>
      </c>
    </row>
    <row r="106" spans="2:11" x14ac:dyDescent="0.2">
      <c r="B106" s="26"/>
      <c r="C106" s="144"/>
      <c r="D106" s="136"/>
      <c r="E106" s="136"/>
      <c r="F106" s="136"/>
      <c r="G106" s="136"/>
      <c r="H106" s="136"/>
      <c r="I106" s="136"/>
      <c r="J106" s="136"/>
      <c r="K106" s="136"/>
    </row>
    <row r="107" spans="2:11" x14ac:dyDescent="0.2">
      <c r="B107" s="26" t="s">
        <v>75</v>
      </c>
      <c r="C107" s="137"/>
      <c r="D107" s="137">
        <f>C109</f>
        <v>44070</v>
      </c>
      <c r="E107" s="137">
        <f t="shared" ref="E107:K107" si="54">D109</f>
        <v>40171</v>
      </c>
      <c r="F107" s="137">
        <f>E109</f>
        <v>38348</v>
      </c>
      <c r="G107" s="137">
        <f t="shared" si="54"/>
        <v>38487</v>
      </c>
      <c r="H107" s="137">
        <f t="shared" ca="1" si="54"/>
        <v>-23473.350588097877</v>
      </c>
      <c r="I107" s="137">
        <f t="shared" ca="1" si="54"/>
        <v>3500.0000000000073</v>
      </c>
      <c r="J107" s="137">
        <f t="shared" ca="1" si="54"/>
        <v>3500.0000000000055</v>
      </c>
      <c r="K107" s="137">
        <f t="shared" ca="1" si="54"/>
        <v>9245.7650162950977</v>
      </c>
    </row>
    <row r="108" spans="2:11" x14ac:dyDescent="0.2">
      <c r="B108" s="26" t="s">
        <v>76</v>
      </c>
      <c r="C108" s="145">
        <f t="shared" ref="C108:K108" si="55">C92+C97+C103+C105</f>
        <v>5329</v>
      </c>
      <c r="D108" s="145">
        <f t="shared" si="55"/>
        <v>-3899</v>
      </c>
      <c r="E108" s="145">
        <f t="shared" si="55"/>
        <v>-1823</v>
      </c>
      <c r="F108" s="145">
        <f t="shared" si="55"/>
        <v>139</v>
      </c>
      <c r="G108" s="145">
        <f t="shared" ca="1" si="55"/>
        <v>-61960.350588097877</v>
      </c>
      <c r="H108" s="145">
        <f t="shared" ca="1" si="55"/>
        <v>26973.350588097885</v>
      </c>
      <c r="I108" s="145">
        <f t="shared" ca="1" si="55"/>
        <v>-1.8189894035458565E-12</v>
      </c>
      <c r="J108" s="145">
        <f t="shared" ca="1" si="55"/>
        <v>5745.7650162950922</v>
      </c>
      <c r="K108" s="145">
        <f t="shared" ca="1" si="55"/>
        <v>12245.535669563442</v>
      </c>
    </row>
    <row r="109" spans="2:11" x14ac:dyDescent="0.2">
      <c r="B109" s="26" t="s">
        <v>238</v>
      </c>
      <c r="C109" s="138">
        <f>C55</f>
        <v>44070</v>
      </c>
      <c r="D109" s="138">
        <f>SUM(D107:D108)</f>
        <v>40171</v>
      </c>
      <c r="E109" s="138">
        <f>SUM(E107:E108)</f>
        <v>38348</v>
      </c>
      <c r="F109" s="138">
        <f>SUM(F107:F108)</f>
        <v>38487</v>
      </c>
      <c r="G109" s="138">
        <f ca="1">SUM(G107:G108)</f>
        <v>-23473.350588097877</v>
      </c>
      <c r="H109" s="138">
        <f t="shared" ref="H109:K109" ca="1" si="56">SUM(H107:H108)</f>
        <v>3500.0000000000073</v>
      </c>
      <c r="I109" s="138">
        <f t="shared" ca="1" si="56"/>
        <v>3500.0000000000055</v>
      </c>
      <c r="J109" s="138">
        <f t="shared" ca="1" si="56"/>
        <v>9245.7650162950977</v>
      </c>
      <c r="K109" s="138">
        <f t="shared" ca="1" si="56"/>
        <v>21491.30068585854</v>
      </c>
    </row>
    <row r="110" spans="2:11" x14ac:dyDescent="0.2">
      <c r="B110" s="26" t="s">
        <v>57</v>
      </c>
      <c r="C110" s="7">
        <f>C109-C55</f>
        <v>0</v>
      </c>
      <c r="D110" s="7">
        <f>D109-D55</f>
        <v>0</v>
      </c>
      <c r="E110" s="7">
        <f>E109-E55</f>
        <v>0</v>
      </c>
      <c r="F110" s="7">
        <f>F109-F55</f>
        <v>0</v>
      </c>
      <c r="G110" s="7">
        <f t="shared" ref="G110:K110" ca="1" si="57">G109-G55</f>
        <v>0</v>
      </c>
      <c r="H110" s="7">
        <f t="shared" ca="1" si="57"/>
        <v>0</v>
      </c>
      <c r="I110" s="7">
        <f ca="1">I109-I55</f>
        <v>0</v>
      </c>
      <c r="J110" s="7">
        <f t="shared" ca="1" si="57"/>
        <v>0</v>
      </c>
      <c r="K110" s="7">
        <f t="shared" ca="1" si="57"/>
        <v>0</v>
      </c>
    </row>
    <row r="111" spans="2:11" x14ac:dyDescent="0.2">
      <c r="B111" s="26"/>
      <c r="C111" s="6"/>
      <c r="D111" s="6"/>
      <c r="E111" s="6"/>
      <c r="F111" s="6"/>
      <c r="G111" s="6"/>
      <c r="H111" s="6"/>
      <c r="I111" s="6"/>
      <c r="J111" s="6"/>
      <c r="K111" s="6"/>
    </row>
    <row r="112" spans="2:11" x14ac:dyDescent="0.2">
      <c r="B112" s="24" t="s">
        <v>77</v>
      </c>
      <c r="C112" s="15"/>
      <c r="D112" s="15"/>
      <c r="E112" s="16"/>
      <c r="F112" s="16"/>
      <c r="G112" s="16"/>
      <c r="H112" s="16"/>
      <c r="I112" s="16"/>
      <c r="J112" s="16"/>
      <c r="K112" s="16"/>
    </row>
    <row r="113" spans="2:11" x14ac:dyDescent="0.2">
      <c r="B113" s="26"/>
      <c r="C113" s="6"/>
      <c r="D113" s="6"/>
      <c r="E113" s="6"/>
      <c r="F113" s="6"/>
      <c r="G113" s="6"/>
      <c r="H113" s="6"/>
      <c r="I113" s="6"/>
      <c r="J113" s="6"/>
      <c r="K113" s="6"/>
    </row>
    <row r="114" spans="2:11" x14ac:dyDescent="0.2">
      <c r="B114" s="26" t="s">
        <v>19</v>
      </c>
      <c r="C114" s="6"/>
      <c r="D114" s="7"/>
      <c r="E114" s="146"/>
      <c r="F114" s="146">
        <f>F34</f>
        <v>3500</v>
      </c>
      <c r="G114" s="146">
        <f t="shared" ref="G114:K114" si="58">G34</f>
        <v>3500</v>
      </c>
      <c r="H114" s="146">
        <f t="shared" si="58"/>
        <v>3500</v>
      </c>
      <c r="I114" s="146">
        <f t="shared" si="58"/>
        <v>3500</v>
      </c>
      <c r="J114" s="146">
        <f t="shared" si="58"/>
        <v>3500</v>
      </c>
      <c r="K114" s="146">
        <f t="shared" si="58"/>
        <v>3500</v>
      </c>
    </row>
    <row r="115" spans="2:11" x14ac:dyDescent="0.2">
      <c r="B115" s="26" t="s">
        <v>78</v>
      </c>
      <c r="C115" s="6"/>
      <c r="D115" s="6"/>
      <c r="E115" s="146"/>
      <c r="F115" s="146">
        <f>F92+F97+F99+F100+F102+F126+F133+E55-F114+F105</f>
        <v>34948</v>
      </c>
      <c r="G115" s="146">
        <f t="shared" ref="G115:K115" ca="1" si="59">G92+G97+G99+G100+G102+G126+G133+F55-G114+G105</f>
        <v>33409.649411902123</v>
      </c>
      <c r="H115" s="146">
        <f t="shared" ca="1" si="59"/>
        <v>-17024.72500810105</v>
      </c>
      <c r="I115" s="146">
        <f t="shared" ca="1" si="59"/>
        <v>10909.42429371039</v>
      </c>
      <c r="J115" s="146">
        <f t="shared" ca="1" si="59"/>
        <v>11861.065730685756</v>
      </c>
      <c r="K115" s="146">
        <f t="shared" ca="1" si="59"/>
        <v>17991.30068585854</v>
      </c>
    </row>
    <row r="116" spans="2:11" x14ac:dyDescent="0.2">
      <c r="B116" s="26"/>
      <c r="C116" s="6"/>
      <c r="D116" s="6"/>
      <c r="E116" s="147"/>
      <c r="F116" s="147"/>
      <c r="G116" s="147"/>
      <c r="H116" s="146"/>
      <c r="I116" s="147"/>
      <c r="J116" s="147"/>
      <c r="K116" s="147"/>
    </row>
    <row r="117" spans="2:11" x14ac:dyDescent="0.2">
      <c r="B117" s="20" t="s">
        <v>79</v>
      </c>
      <c r="C117" s="9"/>
      <c r="D117" s="9"/>
      <c r="E117" s="146"/>
      <c r="F117" s="146"/>
      <c r="G117" s="146"/>
      <c r="H117" s="146"/>
      <c r="I117" s="146"/>
      <c r="J117" s="146"/>
      <c r="K117" s="146"/>
    </row>
    <row r="118" spans="2:11" x14ac:dyDescent="0.2">
      <c r="B118" s="26" t="s">
        <v>80</v>
      </c>
      <c r="C118" s="9"/>
      <c r="D118" s="9"/>
      <c r="E118" s="146"/>
      <c r="F118" s="146">
        <f>E120</f>
        <v>55507</v>
      </c>
      <c r="G118" s="146">
        <f t="shared" ref="G118:K118" si="60">F120</f>
        <v>20559</v>
      </c>
      <c r="H118" s="146">
        <f t="shared" ca="1" si="60"/>
        <v>0</v>
      </c>
      <c r="I118" s="146">
        <f t="shared" ca="1" si="60"/>
        <v>17024.72500810105</v>
      </c>
      <c r="J118" s="146">
        <f t="shared" ca="1" si="60"/>
        <v>6115.3007143906598</v>
      </c>
      <c r="K118" s="146">
        <f t="shared" ca="1" si="60"/>
        <v>0</v>
      </c>
    </row>
    <row r="119" spans="2:11" x14ac:dyDescent="0.2">
      <c r="B119" s="26" t="s">
        <v>81</v>
      </c>
      <c r="C119" s="9"/>
      <c r="D119" s="9"/>
      <c r="E119" s="146"/>
      <c r="F119" s="146">
        <f>-MIN(F118,F115)</f>
        <v>-34948</v>
      </c>
      <c r="G119" s="146">
        <f t="shared" ref="G119:K119" ca="1" si="61">-MIN(G118,G115)</f>
        <v>-20559</v>
      </c>
      <c r="H119" s="146">
        <f t="shared" ca="1" si="61"/>
        <v>17024.72500810105</v>
      </c>
      <c r="I119" s="146">
        <f t="shared" ca="1" si="61"/>
        <v>-10909.42429371039</v>
      </c>
      <c r="J119" s="146">
        <f t="shared" ca="1" si="61"/>
        <v>-6115.3007143906598</v>
      </c>
      <c r="K119" s="146">
        <f t="shared" ca="1" si="61"/>
        <v>0</v>
      </c>
    </row>
    <row r="120" spans="2:11" x14ac:dyDescent="0.2">
      <c r="B120" s="26" t="s">
        <v>82</v>
      </c>
      <c r="C120" s="9"/>
      <c r="D120" s="7"/>
      <c r="E120" s="148">
        <f>E66-E127</f>
        <v>55507</v>
      </c>
      <c r="F120" s="148">
        <f>F118+F119</f>
        <v>20559</v>
      </c>
      <c r="G120" s="148">
        <f t="shared" ref="G120:K120" ca="1" si="62">G118+G119</f>
        <v>0</v>
      </c>
      <c r="H120" s="148">
        <f t="shared" ca="1" si="62"/>
        <v>17024.72500810105</v>
      </c>
      <c r="I120" s="148">
        <f t="shared" ca="1" si="62"/>
        <v>6115.3007143906598</v>
      </c>
      <c r="J120" s="148">
        <f t="shared" ca="1" si="62"/>
        <v>0</v>
      </c>
      <c r="K120" s="148">
        <f t="shared" ca="1" si="62"/>
        <v>0</v>
      </c>
    </row>
    <row r="121" spans="2:11" x14ac:dyDescent="0.2">
      <c r="B121" s="26" t="s">
        <v>83</v>
      </c>
      <c r="C121" s="9"/>
      <c r="D121" s="9"/>
      <c r="E121" s="12"/>
      <c r="F121" s="12">
        <f>F$22</f>
        <v>7.6791181873851807E-3</v>
      </c>
      <c r="G121" s="12">
        <f>G$22</f>
        <v>7.6791181873851807E-3</v>
      </c>
      <c r="H121" s="12">
        <f t="shared" ref="H121:K121" si="63">H$22</f>
        <v>7.6791181873851807E-3</v>
      </c>
      <c r="I121" s="12">
        <f t="shared" si="63"/>
        <v>7.6791181873851807E-3</v>
      </c>
      <c r="J121" s="12">
        <f t="shared" si="63"/>
        <v>7.6791181873851807E-3</v>
      </c>
      <c r="K121" s="12">
        <f t="shared" si="63"/>
        <v>7.6791181873851807E-3</v>
      </c>
    </row>
    <row r="122" spans="2:11" x14ac:dyDescent="0.2">
      <c r="B122" s="26" t="s">
        <v>29</v>
      </c>
      <c r="C122" s="9"/>
      <c r="D122" s="9"/>
      <c r="E122" s="18"/>
      <c r="F122" s="18">
        <f>AVERAGE(F118,F120)*F121</f>
        <v>292.05990202082057</v>
      </c>
      <c r="G122" s="18">
        <f t="shared" ref="G122:K122" ca="1" si="64">AVERAGE(G118,G120)*G121</f>
        <v>78.937495407225967</v>
      </c>
      <c r="H122" s="18">
        <f t="shared" ca="1" si="64"/>
        <v>65.367437722470044</v>
      </c>
      <c r="I122" s="18">
        <f t="shared" ca="1" si="64"/>
        <v>88.847496191073489</v>
      </c>
      <c r="J122" s="18">
        <f t="shared" ca="1" si="64"/>
        <v>23.480058468603453</v>
      </c>
      <c r="K122" s="18">
        <f t="shared" ca="1" si="64"/>
        <v>0</v>
      </c>
    </row>
    <row r="123" spans="2:11" x14ac:dyDescent="0.2">
      <c r="B123" s="26"/>
      <c r="C123" s="9"/>
      <c r="D123" s="9"/>
      <c r="E123" s="9"/>
      <c r="F123" s="9"/>
      <c r="G123" s="9"/>
      <c r="H123" s="9"/>
      <c r="I123" s="9"/>
      <c r="J123" s="7"/>
      <c r="K123" s="9"/>
    </row>
    <row r="124" spans="2:11" x14ac:dyDescent="0.2">
      <c r="B124" s="20" t="s">
        <v>84</v>
      </c>
      <c r="C124" s="9"/>
      <c r="D124" s="9"/>
      <c r="E124" s="9"/>
      <c r="F124" s="9"/>
      <c r="G124" s="9"/>
      <c r="H124" s="9"/>
      <c r="I124" s="9"/>
      <c r="J124" s="9"/>
      <c r="K124" s="9"/>
    </row>
    <row r="125" spans="2:11" x14ac:dyDescent="0.2">
      <c r="B125" s="26" t="s">
        <v>80</v>
      </c>
      <c r="C125" s="9"/>
      <c r="D125" s="9"/>
      <c r="E125" s="9"/>
      <c r="F125" s="13">
        <f>E127</f>
        <v>0</v>
      </c>
      <c r="G125" s="13">
        <f t="shared" ref="G125:K125" si="65">F127</f>
        <v>5553</v>
      </c>
      <c r="H125" s="13">
        <f t="shared" si="65"/>
        <v>1184</v>
      </c>
      <c r="I125" s="13">
        <f t="shared" si="65"/>
        <v>823</v>
      </c>
      <c r="J125" s="13">
        <f t="shared" si="65"/>
        <v>460</v>
      </c>
      <c r="K125" s="13">
        <f t="shared" si="65"/>
        <v>685</v>
      </c>
    </row>
    <row r="126" spans="2:11" x14ac:dyDescent="0.2">
      <c r="B126" s="26" t="s">
        <v>81</v>
      </c>
      <c r="C126" s="9"/>
      <c r="D126" s="9"/>
      <c r="E126" s="9"/>
      <c r="F126" s="13">
        <f>G35-F35</f>
        <v>5553</v>
      </c>
      <c r="G126" s="13">
        <f t="shared" ref="G126:K126" si="66">H35-G35</f>
        <v>-4369</v>
      </c>
      <c r="H126" s="13">
        <f t="shared" si="66"/>
        <v>-361</v>
      </c>
      <c r="I126" s="13">
        <f t="shared" si="66"/>
        <v>-363</v>
      </c>
      <c r="J126" s="13">
        <f t="shared" si="66"/>
        <v>225</v>
      </c>
      <c r="K126" s="13">
        <f t="shared" si="66"/>
        <v>-685</v>
      </c>
    </row>
    <row r="127" spans="2:11" x14ac:dyDescent="0.2">
      <c r="B127" s="26" t="s">
        <v>82</v>
      </c>
      <c r="C127" s="9"/>
      <c r="D127" s="7"/>
      <c r="E127" s="19">
        <f>F35</f>
        <v>0</v>
      </c>
      <c r="F127" s="19">
        <f>F125+F126</f>
        <v>5553</v>
      </c>
      <c r="G127" s="19">
        <f t="shared" ref="G127:K127" si="67">G125+G126</f>
        <v>1184</v>
      </c>
      <c r="H127" s="19">
        <f t="shared" si="67"/>
        <v>823</v>
      </c>
      <c r="I127" s="19">
        <f t="shared" si="67"/>
        <v>460</v>
      </c>
      <c r="J127" s="19">
        <f t="shared" si="67"/>
        <v>685</v>
      </c>
      <c r="K127" s="19">
        <f t="shared" si="67"/>
        <v>0</v>
      </c>
    </row>
    <row r="128" spans="2:11" x14ac:dyDescent="0.2">
      <c r="B128" s="26" t="s">
        <v>83</v>
      </c>
      <c r="C128" s="9"/>
      <c r="D128" s="9"/>
      <c r="E128" s="12"/>
      <c r="F128" s="12">
        <f>F$22</f>
        <v>7.6791181873851807E-3</v>
      </c>
      <c r="G128" s="12">
        <f t="shared" ref="G128:K128" si="68">G$22</f>
        <v>7.6791181873851807E-3</v>
      </c>
      <c r="H128" s="12">
        <f t="shared" si="68"/>
        <v>7.6791181873851807E-3</v>
      </c>
      <c r="I128" s="12">
        <f t="shared" si="68"/>
        <v>7.6791181873851807E-3</v>
      </c>
      <c r="J128" s="12">
        <f t="shared" si="68"/>
        <v>7.6791181873851807E-3</v>
      </c>
      <c r="K128" s="12">
        <f t="shared" si="68"/>
        <v>7.6791181873851807E-3</v>
      </c>
    </row>
    <row r="129" spans="2:11" x14ac:dyDescent="0.2">
      <c r="B129" s="26" t="s">
        <v>29</v>
      </c>
      <c r="C129" s="9"/>
      <c r="D129" s="9"/>
      <c r="E129" s="18"/>
      <c r="F129" s="18">
        <f>AVERAGE(F125,F127)*F128</f>
        <v>21.321071647274955</v>
      </c>
      <c r="G129" s="18">
        <f t="shared" ref="G129:K129" si="69">AVERAGE(G125,G127)*G128</f>
        <v>25.867109614206981</v>
      </c>
      <c r="H129" s="18">
        <f t="shared" si="69"/>
        <v>7.7059951010410286</v>
      </c>
      <c r="I129" s="18">
        <f t="shared" si="69"/>
        <v>4.926154317207593</v>
      </c>
      <c r="J129" s="18">
        <f t="shared" si="69"/>
        <v>4.3962951622780162</v>
      </c>
      <c r="K129" s="18">
        <f t="shared" si="69"/>
        <v>2.6300979791794243</v>
      </c>
    </row>
    <row r="130" spans="2:11" x14ac:dyDescent="0.2">
      <c r="B130" s="26"/>
      <c r="C130" s="9"/>
      <c r="D130" s="9"/>
      <c r="E130" s="9"/>
      <c r="F130" s="9"/>
      <c r="G130" s="9"/>
      <c r="H130" s="9"/>
      <c r="I130" s="9"/>
      <c r="J130" s="7"/>
      <c r="K130" s="9"/>
    </row>
    <row r="131" spans="2:11" x14ac:dyDescent="0.2">
      <c r="B131" s="20" t="s">
        <v>85</v>
      </c>
      <c r="C131" s="9"/>
      <c r="D131" s="9"/>
      <c r="E131" s="9"/>
      <c r="F131" s="9"/>
      <c r="G131" s="9"/>
      <c r="H131" s="9"/>
      <c r="I131" s="9"/>
      <c r="J131" s="9"/>
      <c r="K131" s="9"/>
    </row>
    <row r="132" spans="2:11" x14ac:dyDescent="0.2">
      <c r="B132" s="26" t="s">
        <v>80</v>
      </c>
      <c r="C132" s="9"/>
      <c r="D132" s="9"/>
      <c r="E132" s="9"/>
      <c r="F132" s="7">
        <f>E134</f>
        <v>105355</v>
      </c>
      <c r="G132" s="7">
        <f t="shared" ref="G132:K132" si="70">F134</f>
        <v>99802</v>
      </c>
      <c r="H132" s="7">
        <f t="shared" si="70"/>
        <v>98618</v>
      </c>
      <c r="I132" s="7">
        <f t="shared" si="70"/>
        <v>97795</v>
      </c>
      <c r="J132" s="7">
        <f t="shared" si="70"/>
        <v>97335</v>
      </c>
      <c r="K132" s="7">
        <f t="shared" si="70"/>
        <v>96650</v>
      </c>
    </row>
    <row r="133" spans="2:11" x14ac:dyDescent="0.2">
      <c r="B133" s="26" t="s">
        <v>81</v>
      </c>
      <c r="C133" s="9"/>
      <c r="D133" s="9"/>
      <c r="E133" s="9"/>
      <c r="F133" s="13">
        <f>-G35</f>
        <v>-5553</v>
      </c>
      <c r="G133" s="13">
        <f t="shared" ref="G133:K133" si="71">-H35</f>
        <v>-1184</v>
      </c>
      <c r="H133" s="13">
        <f t="shared" si="71"/>
        <v>-823</v>
      </c>
      <c r="I133" s="13">
        <f t="shared" si="71"/>
        <v>-460</v>
      </c>
      <c r="J133" s="13">
        <f t="shared" si="71"/>
        <v>-685</v>
      </c>
      <c r="K133" s="13">
        <f t="shared" si="71"/>
        <v>0</v>
      </c>
    </row>
    <row r="134" spans="2:11" x14ac:dyDescent="0.2">
      <c r="B134" s="26" t="s">
        <v>82</v>
      </c>
      <c r="C134" s="9"/>
      <c r="D134" s="7"/>
      <c r="E134" s="17">
        <f>E72</f>
        <v>105355</v>
      </c>
      <c r="F134" s="17">
        <f>F132+F133</f>
        <v>99802</v>
      </c>
      <c r="G134" s="17">
        <f t="shared" ref="G134:K134" si="72">G132+G133</f>
        <v>98618</v>
      </c>
      <c r="H134" s="17">
        <f t="shared" si="72"/>
        <v>97795</v>
      </c>
      <c r="I134" s="17">
        <f t="shared" si="72"/>
        <v>97335</v>
      </c>
      <c r="J134" s="17">
        <f t="shared" si="72"/>
        <v>96650</v>
      </c>
      <c r="K134" s="17">
        <f t="shared" si="72"/>
        <v>96650</v>
      </c>
    </row>
    <row r="135" spans="2:11" x14ac:dyDescent="0.2">
      <c r="B135" s="26" t="s">
        <v>83</v>
      </c>
      <c r="C135" s="9"/>
      <c r="D135" s="9"/>
      <c r="E135" s="12"/>
      <c r="F135" s="12">
        <f>F$22</f>
        <v>7.6791181873851807E-3</v>
      </c>
      <c r="G135" s="12">
        <f t="shared" ref="G135:K135" si="73">G$22</f>
        <v>7.6791181873851807E-3</v>
      </c>
      <c r="H135" s="12">
        <f t="shared" si="73"/>
        <v>7.6791181873851807E-3</v>
      </c>
      <c r="I135" s="12">
        <f t="shared" si="73"/>
        <v>7.6791181873851807E-3</v>
      </c>
      <c r="J135" s="12">
        <f t="shared" si="73"/>
        <v>7.6791181873851807E-3</v>
      </c>
      <c r="K135" s="12">
        <f t="shared" si="73"/>
        <v>7.6791181873851807E-3</v>
      </c>
    </row>
    <row r="136" spans="2:11" x14ac:dyDescent="0.2">
      <c r="B136" s="26" t="s">
        <v>29</v>
      </c>
      <c r="C136" s="9"/>
      <c r="D136" s="9"/>
      <c r="E136" s="6"/>
      <c r="F136" s="13">
        <f>AVERAGE(F132,F134)*F135</f>
        <v>787.71242498469076</v>
      </c>
      <c r="G136" s="13">
        <f t="shared" ref="G136:K136" si="74">AVERAGE(G132,G134)*G135</f>
        <v>761.84531537048383</v>
      </c>
      <c r="H136" s="13">
        <f t="shared" si="74"/>
        <v>754.13932026944269</v>
      </c>
      <c r="I136" s="13">
        <f t="shared" si="74"/>
        <v>749.21316595223516</v>
      </c>
      <c r="J136" s="13">
        <f t="shared" si="74"/>
        <v>744.81687078995719</v>
      </c>
      <c r="K136" s="13">
        <f t="shared" si="74"/>
        <v>742.18677281077771</v>
      </c>
    </row>
    <row r="137" spans="2:11" x14ac:dyDescent="0.2">
      <c r="B137" s="26"/>
      <c r="C137" s="6"/>
      <c r="D137" s="6"/>
      <c r="E137" s="13"/>
      <c r="F137" s="13"/>
      <c r="G137" s="13"/>
      <c r="H137" s="13"/>
      <c r="I137" s="13"/>
      <c r="J137" s="7"/>
      <c r="K137" s="13"/>
    </row>
    <row r="138" spans="2:11" x14ac:dyDescent="0.2">
      <c r="B138" s="20" t="s">
        <v>86</v>
      </c>
      <c r="C138" s="6"/>
      <c r="D138" s="6"/>
      <c r="E138" s="13"/>
      <c r="F138" s="13"/>
      <c r="G138" s="13"/>
      <c r="H138" s="13"/>
      <c r="I138" s="13"/>
      <c r="J138" s="13"/>
      <c r="K138" s="13"/>
    </row>
    <row r="139" spans="2:11" x14ac:dyDescent="0.2">
      <c r="B139" s="26" t="s">
        <v>80</v>
      </c>
      <c r="C139" s="6"/>
      <c r="D139" s="6"/>
      <c r="E139" s="21"/>
      <c r="F139" s="7">
        <f>F118+F125+F132</f>
        <v>160862</v>
      </c>
      <c r="G139" s="7">
        <f t="shared" ref="G139:K139" si="75">G118+G125+G132</f>
        <v>125914</v>
      </c>
      <c r="H139" s="7">
        <f t="shared" ca="1" si="75"/>
        <v>99802</v>
      </c>
      <c r="I139" s="7">
        <f t="shared" ca="1" si="75"/>
        <v>115642.72500810106</v>
      </c>
      <c r="J139" s="7">
        <f t="shared" ca="1" si="75"/>
        <v>103910.30071439066</v>
      </c>
      <c r="K139" s="7">
        <f t="shared" ca="1" si="75"/>
        <v>97335</v>
      </c>
    </row>
    <row r="140" spans="2:11" x14ac:dyDescent="0.2">
      <c r="B140" s="26" t="s">
        <v>81</v>
      </c>
      <c r="C140" s="6"/>
      <c r="D140" s="6"/>
      <c r="E140" s="21"/>
      <c r="F140" s="7">
        <f t="shared" ref="F140:K141" si="76">F119+F126+F133</f>
        <v>-34948</v>
      </c>
      <c r="G140" s="7">
        <f t="shared" ca="1" si="76"/>
        <v>-26112</v>
      </c>
      <c r="H140" s="7">
        <f t="shared" ca="1" si="76"/>
        <v>15840.72500810105</v>
      </c>
      <c r="I140" s="7">
        <f t="shared" ca="1" si="76"/>
        <v>-11732.42429371039</v>
      </c>
      <c r="J140" s="7">
        <f t="shared" ca="1" si="76"/>
        <v>-6575.3007143906598</v>
      </c>
      <c r="K140" s="7">
        <f t="shared" ca="1" si="76"/>
        <v>-685</v>
      </c>
    </row>
    <row r="141" spans="2:11" x14ac:dyDescent="0.2">
      <c r="B141" s="26" t="s">
        <v>82</v>
      </c>
      <c r="C141" s="6"/>
      <c r="D141" s="21"/>
      <c r="E141" s="21"/>
      <c r="F141" s="7">
        <f t="shared" si="76"/>
        <v>125914</v>
      </c>
      <c r="G141" s="7">
        <f t="shared" ca="1" si="76"/>
        <v>99802</v>
      </c>
      <c r="H141" s="7">
        <f t="shared" ca="1" si="76"/>
        <v>115642.72500810106</v>
      </c>
      <c r="I141" s="7">
        <f t="shared" ca="1" si="76"/>
        <v>103910.30071439066</v>
      </c>
      <c r="J141" s="7">
        <f t="shared" ca="1" si="76"/>
        <v>97335</v>
      </c>
      <c r="K141" s="7">
        <f t="shared" ca="1" si="76"/>
        <v>96650</v>
      </c>
    </row>
    <row r="142" spans="2:11" x14ac:dyDescent="0.2">
      <c r="B142" s="26"/>
      <c r="C142" s="6"/>
      <c r="D142" s="6"/>
      <c r="E142" s="14"/>
      <c r="F142" s="14"/>
      <c r="G142" s="14"/>
      <c r="H142" s="14"/>
      <c r="I142" s="14"/>
      <c r="J142" s="14"/>
      <c r="K142" s="14"/>
    </row>
    <row r="143" spans="2:11" x14ac:dyDescent="0.2">
      <c r="B143" s="26" t="s">
        <v>11</v>
      </c>
      <c r="C143" s="6"/>
      <c r="D143" s="12"/>
      <c r="E143" s="12"/>
      <c r="F143" s="12">
        <f>F23</f>
        <v>0</v>
      </c>
      <c r="G143" s="12">
        <f t="shared" ref="G143:K143" si="77">G23</f>
        <v>0.01</v>
      </c>
      <c r="H143" s="12">
        <f t="shared" si="77"/>
        <v>0.01</v>
      </c>
      <c r="I143" s="12">
        <f t="shared" si="77"/>
        <v>0.01</v>
      </c>
      <c r="J143" s="12">
        <f t="shared" si="77"/>
        <v>0.01</v>
      </c>
      <c r="K143" s="12">
        <f t="shared" si="77"/>
        <v>0.01</v>
      </c>
    </row>
    <row r="144" spans="2:11" x14ac:dyDescent="0.2">
      <c r="B144" s="26" t="s">
        <v>87</v>
      </c>
      <c r="C144" s="6"/>
      <c r="D144" s="13"/>
      <c r="E144" s="13"/>
      <c r="F144" s="13">
        <f>F143*AVERAGE(E55:F55)</f>
        <v>0</v>
      </c>
      <c r="G144" s="13">
        <f ca="1">G143*AVERAGE(F55:G55)</f>
        <v>75.068247059510611</v>
      </c>
      <c r="H144" s="13">
        <f t="shared" ref="H144:K144" ca="1" si="78">H143*AVERAGE(G55:H55)</f>
        <v>-99.866752940489349</v>
      </c>
      <c r="I144" s="13">
        <f t="shared" ca="1" si="78"/>
        <v>35.000000000000064</v>
      </c>
      <c r="J144" s="13">
        <f t="shared" ca="1" si="78"/>
        <v>63.72882508147552</v>
      </c>
      <c r="K144" s="13">
        <f t="shared" ca="1" si="78"/>
        <v>153.68532851076819</v>
      </c>
    </row>
    <row r="146" spans="7:8" x14ac:dyDescent="0.2">
      <c r="G146" s="2"/>
      <c r="H146" s="2"/>
    </row>
  </sheetData>
  <pageMargins left="0.7" right="0.7" top="0.75" bottom="0.75" header="0.3" footer="0.3"/>
  <pageSetup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6DA5D-858B-CB41-9B96-D29B5AD1B125}">
  <dimension ref="B2:M63"/>
  <sheetViews>
    <sheetView zoomScale="130" zoomScaleNormal="130" workbookViewId="0">
      <selection activeCell="C17" sqref="C17"/>
    </sheetView>
  </sheetViews>
  <sheetFormatPr baseColWidth="10" defaultRowHeight="15" x14ac:dyDescent="0.2"/>
  <cols>
    <col min="2" max="2" width="54.33203125" customWidth="1"/>
    <col min="3" max="3" width="15.1640625" customWidth="1"/>
    <col min="4" max="4" width="13.1640625" customWidth="1"/>
  </cols>
  <sheetData>
    <row r="2" spans="2:12" x14ac:dyDescent="0.2">
      <c r="B2" s="61" t="s">
        <v>102</v>
      </c>
      <c r="C2" s="61"/>
      <c r="D2" s="61"/>
      <c r="E2" s="61"/>
      <c r="F2" s="61"/>
      <c r="G2" s="61"/>
      <c r="H2" s="61"/>
      <c r="I2" s="61"/>
      <c r="J2" s="61"/>
      <c r="K2" s="61"/>
      <c r="L2" s="61"/>
    </row>
    <row r="3" spans="2:12" x14ac:dyDescent="0.2">
      <c r="B3" s="61" t="s">
        <v>103</v>
      </c>
      <c r="C3" s="61"/>
      <c r="D3" s="61"/>
      <c r="E3" s="61"/>
      <c r="F3" s="61"/>
      <c r="G3" s="61"/>
      <c r="H3" s="61"/>
      <c r="I3" s="61"/>
      <c r="J3" s="61"/>
      <c r="K3" s="61"/>
      <c r="L3" s="61"/>
    </row>
    <row r="4" spans="2:12" x14ac:dyDescent="0.2">
      <c r="B4" s="61"/>
      <c r="C4" s="61" t="s">
        <v>104</v>
      </c>
      <c r="D4" s="61" t="s">
        <v>105</v>
      </c>
      <c r="E4" s="61" t="s">
        <v>106</v>
      </c>
      <c r="F4" s="61" t="s">
        <v>107</v>
      </c>
      <c r="G4" s="61" t="s">
        <v>108</v>
      </c>
      <c r="H4" s="61" t="s">
        <v>109</v>
      </c>
      <c r="I4" s="61" t="s">
        <v>110</v>
      </c>
      <c r="J4" s="61" t="s">
        <v>111</v>
      </c>
      <c r="K4" s="61" t="s">
        <v>112</v>
      </c>
      <c r="L4" s="61" t="s">
        <v>113</v>
      </c>
    </row>
    <row r="5" spans="2:12" x14ac:dyDescent="0.2"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</row>
    <row r="6" spans="2:12" x14ac:dyDescent="0.2">
      <c r="B6" s="63"/>
      <c r="C6" s="63"/>
      <c r="D6" s="63"/>
      <c r="E6" s="63"/>
      <c r="F6" s="63"/>
      <c r="G6" s="63"/>
      <c r="H6" s="63"/>
      <c r="I6" s="63"/>
      <c r="J6" s="63"/>
      <c r="K6" s="63" t="s">
        <v>114</v>
      </c>
      <c r="L6" s="63"/>
    </row>
    <row r="7" spans="2:12" x14ac:dyDescent="0.2">
      <c r="B7" s="64" t="s">
        <v>2</v>
      </c>
      <c r="C7" s="65">
        <v>187.267</v>
      </c>
      <c r="D7" s="65">
        <v>184.99199999999999</v>
      </c>
      <c r="E7" s="65">
        <v>176.191</v>
      </c>
      <c r="F7" s="65">
        <v>158.05699999999999</v>
      </c>
      <c r="G7" s="65">
        <v>136.34100000000001</v>
      </c>
      <c r="H7" s="65">
        <v>127.14400000000001</v>
      </c>
      <c r="I7" s="65">
        <v>155.9</v>
      </c>
      <c r="J7" s="65">
        <v>160.33799999999999</v>
      </c>
      <c r="K7" s="65">
        <v>156.77600000000001</v>
      </c>
      <c r="L7" s="65">
        <v>151.80000000000001</v>
      </c>
    </row>
    <row r="8" spans="2:12" x14ac:dyDescent="0.2">
      <c r="B8" s="66" t="s">
        <v>24</v>
      </c>
      <c r="C8" s="65">
        <v>164.45400000000001</v>
      </c>
      <c r="D8" s="65">
        <v>161.58699999999999</v>
      </c>
      <c r="E8" s="65">
        <v>151.881</v>
      </c>
      <c r="F8" s="65">
        <v>132.96</v>
      </c>
      <c r="G8" s="65">
        <v>111.79300000000001</v>
      </c>
      <c r="H8" s="65">
        <v>114.428</v>
      </c>
      <c r="I8" s="65">
        <v>136.79</v>
      </c>
      <c r="J8" s="65">
        <v>137.58199999999999</v>
      </c>
      <c r="K8" s="65">
        <v>132.82400000000001</v>
      </c>
      <c r="L8" s="65">
        <v>128.72499999999999</v>
      </c>
    </row>
    <row r="9" spans="2:12" x14ac:dyDescent="0.2">
      <c r="B9" s="67" t="s">
        <v>193</v>
      </c>
      <c r="C9" s="68">
        <v>158.459</v>
      </c>
      <c r="D9" s="68">
        <v>155.72</v>
      </c>
      <c r="E9" s="68">
        <v>145.358</v>
      </c>
      <c r="F9" s="68">
        <v>126.467</v>
      </c>
      <c r="G9" s="68">
        <v>105.833</v>
      </c>
      <c r="H9" s="68">
        <v>106.971</v>
      </c>
      <c r="I9" s="68">
        <v>128.30000000000001</v>
      </c>
      <c r="J9" s="68">
        <v>129.274</v>
      </c>
      <c r="K9" s="68">
        <v>124.371</v>
      </c>
      <c r="L9" s="68">
        <v>120.008</v>
      </c>
    </row>
    <row r="10" spans="2:12" x14ac:dyDescent="0.2">
      <c r="B10" s="69" t="s">
        <v>194</v>
      </c>
      <c r="C10" s="70">
        <v>5.9950000000000001</v>
      </c>
      <c r="D10" s="70">
        <v>5.867</v>
      </c>
      <c r="E10" s="70">
        <v>6.5229999999999997</v>
      </c>
      <c r="F10" s="70">
        <v>6.4930000000000003</v>
      </c>
      <c r="G10" s="70">
        <v>5.96</v>
      </c>
      <c r="H10" s="70">
        <v>7.4569999999999999</v>
      </c>
      <c r="I10" s="70">
        <v>8.49</v>
      </c>
      <c r="J10" s="70">
        <v>8.3079999999999998</v>
      </c>
      <c r="K10" s="70">
        <v>8.4529999999999994</v>
      </c>
      <c r="L10" s="70">
        <v>8.7170000000000005</v>
      </c>
    </row>
    <row r="11" spans="2:12" x14ac:dyDescent="0.2">
      <c r="B11" s="71" t="s">
        <v>195</v>
      </c>
      <c r="C11" s="68">
        <v>7.8339999999999996</v>
      </c>
      <c r="D11" s="68">
        <v>7.5670000000000002</v>
      </c>
      <c r="E11" s="68">
        <v>7.69</v>
      </c>
      <c r="F11" s="68">
        <v>7.6420000000000003</v>
      </c>
      <c r="G11" s="68">
        <v>7.3179999999999996</v>
      </c>
      <c r="H11" s="68">
        <v>8.7509999999999994</v>
      </c>
      <c r="I11" s="68">
        <v>9.6890000000000001</v>
      </c>
      <c r="J11" s="68">
        <v>9.2799999999999994</v>
      </c>
      <c r="K11" s="68">
        <v>9.1219999999999999</v>
      </c>
      <c r="L11" s="68">
        <v>9.0229999999999997</v>
      </c>
    </row>
    <row r="12" spans="2:12" x14ac:dyDescent="0.2">
      <c r="B12" s="72" t="s">
        <v>196</v>
      </c>
      <c r="C12" s="73">
        <v>-1.839</v>
      </c>
      <c r="D12" s="73">
        <v>-1.7</v>
      </c>
      <c r="E12" s="73">
        <v>-1.167</v>
      </c>
      <c r="F12" s="73">
        <v>-1.149</v>
      </c>
      <c r="G12" s="73">
        <v>-1.3580000000000001</v>
      </c>
      <c r="H12" s="73">
        <v>-1.294</v>
      </c>
      <c r="I12" s="73">
        <v>-1.1990000000000001</v>
      </c>
      <c r="J12" s="73">
        <v>-0.97199999999999998</v>
      </c>
      <c r="K12" s="73">
        <v>-0.66900000000000004</v>
      </c>
      <c r="L12" s="73">
        <v>-0.30599999999999999</v>
      </c>
    </row>
    <row r="13" spans="2:12" x14ac:dyDescent="0.2">
      <c r="B13" s="57" t="s">
        <v>25</v>
      </c>
      <c r="C13" s="40">
        <v>22.812999999999999</v>
      </c>
      <c r="D13" s="40">
        <v>23.405000000000001</v>
      </c>
      <c r="E13" s="40">
        <v>24.31</v>
      </c>
      <c r="F13" s="40">
        <v>25.097000000000001</v>
      </c>
      <c r="G13" s="40">
        <v>24.547999999999998</v>
      </c>
      <c r="H13" s="40">
        <v>12.715999999999999</v>
      </c>
      <c r="I13" s="40">
        <v>19.11</v>
      </c>
      <c r="J13" s="40">
        <v>22.756</v>
      </c>
      <c r="K13" s="40">
        <v>23.952000000000002</v>
      </c>
      <c r="L13" s="40">
        <v>23.074999999999999</v>
      </c>
    </row>
    <row r="14" spans="2:12" x14ac:dyDescent="0.2">
      <c r="B14" s="66" t="s">
        <v>197</v>
      </c>
      <c r="C14" s="65">
        <v>20.280999999999999</v>
      </c>
      <c r="D14" s="65">
        <v>18.309999999999999</v>
      </c>
      <c r="E14" s="65">
        <v>18.931999999999999</v>
      </c>
      <c r="F14" s="65">
        <v>18.687999999999999</v>
      </c>
      <c r="G14" s="65">
        <v>19.515000000000001</v>
      </c>
      <c r="H14" s="65">
        <v>17.292999999999999</v>
      </c>
      <c r="I14" s="65">
        <v>18.561</v>
      </c>
      <c r="J14" s="65">
        <v>19.603000000000002</v>
      </c>
      <c r="K14" s="65">
        <v>19.527000000000001</v>
      </c>
      <c r="L14" s="65">
        <v>19.495999999999999</v>
      </c>
    </row>
    <row r="15" spans="2:12" x14ac:dyDescent="0.2">
      <c r="B15" s="74" t="s">
        <v>198</v>
      </c>
      <c r="C15" s="75">
        <v>9.4</v>
      </c>
      <c r="D15" s="75">
        <v>8</v>
      </c>
      <c r="E15" s="75">
        <v>8.1999999999999993</v>
      </c>
      <c r="F15" s="75">
        <v>7.8</v>
      </c>
      <c r="G15" s="75">
        <v>7.6</v>
      </c>
      <c r="H15" s="75">
        <v>7.1</v>
      </c>
      <c r="I15" s="75">
        <v>7.4</v>
      </c>
      <c r="J15" s="75">
        <v>8.1999999999999993</v>
      </c>
      <c r="K15" s="75">
        <v>8</v>
      </c>
      <c r="L15" s="75">
        <v>7.3</v>
      </c>
    </row>
    <row r="16" spans="2:12" x14ac:dyDescent="0.2">
      <c r="B16" s="76" t="s">
        <v>199</v>
      </c>
      <c r="C16" s="77">
        <v>10.881</v>
      </c>
      <c r="D16" s="77">
        <v>10.31</v>
      </c>
      <c r="E16" s="77">
        <v>10.731999999999999</v>
      </c>
      <c r="F16" s="77">
        <v>10.888</v>
      </c>
      <c r="G16" s="77">
        <v>11.914999999999999</v>
      </c>
      <c r="H16" s="77">
        <v>10.193</v>
      </c>
      <c r="I16" s="77">
        <v>11.161</v>
      </c>
      <c r="J16" s="77">
        <v>11.403</v>
      </c>
      <c r="K16" s="77">
        <v>11.526999999999999</v>
      </c>
      <c r="L16" s="77">
        <v>12.196</v>
      </c>
    </row>
    <row r="17" spans="2:12" x14ac:dyDescent="0.2">
      <c r="B17" s="78" t="s">
        <v>200</v>
      </c>
      <c r="C17" s="68">
        <v>0</v>
      </c>
      <c r="D17" s="68">
        <v>0</v>
      </c>
      <c r="E17" s="68">
        <v>0</v>
      </c>
      <c r="F17" s="68">
        <v>0</v>
      </c>
      <c r="G17" s="68">
        <v>0</v>
      </c>
      <c r="H17" s="68">
        <v>0</v>
      </c>
      <c r="I17" s="68">
        <v>0</v>
      </c>
      <c r="J17" s="68">
        <v>0</v>
      </c>
      <c r="K17" s="68">
        <v>0</v>
      </c>
      <c r="L17" s="68">
        <v>0</v>
      </c>
    </row>
    <row r="18" spans="2:12" x14ac:dyDescent="0.2">
      <c r="B18" s="79" t="s">
        <v>28</v>
      </c>
      <c r="C18" s="70">
        <v>2.532</v>
      </c>
      <c r="D18" s="70">
        <v>5.0949999999999998</v>
      </c>
      <c r="E18" s="70">
        <v>5.3780000000000001</v>
      </c>
      <c r="F18" s="70">
        <v>6.4089999999999998</v>
      </c>
      <c r="G18" s="70">
        <v>5.0330000000000004</v>
      </c>
      <c r="H18" s="70">
        <v>-4.577</v>
      </c>
      <c r="I18" s="70">
        <v>0.54900000000000004</v>
      </c>
      <c r="J18" s="70">
        <v>3.153</v>
      </c>
      <c r="K18" s="70">
        <v>4.4249999999999998</v>
      </c>
      <c r="L18" s="70">
        <v>3.5790000000000002</v>
      </c>
    </row>
    <row r="19" spans="2:12" x14ac:dyDescent="0.2">
      <c r="B19" s="50" t="s">
        <v>201</v>
      </c>
      <c r="C19" s="40">
        <v>-0.878</v>
      </c>
      <c r="D19" s="40">
        <v>3.234</v>
      </c>
      <c r="E19" s="40">
        <v>-0.13100000000000001</v>
      </c>
      <c r="F19" s="40">
        <v>-7.4720000000000004</v>
      </c>
      <c r="G19" s="40">
        <v>16.353000000000002</v>
      </c>
      <c r="H19" s="40">
        <v>1.0780000000000001</v>
      </c>
      <c r="I19" s="40">
        <v>1.2E-2</v>
      </c>
      <c r="J19" s="40">
        <v>2.4060000000000001</v>
      </c>
      <c r="K19" s="40">
        <v>5.3380000000000001</v>
      </c>
      <c r="L19" s="40">
        <v>3.3149999999999999</v>
      </c>
    </row>
    <row r="20" spans="2:12" x14ac:dyDescent="0.2">
      <c r="B20" s="76" t="s">
        <v>202</v>
      </c>
      <c r="C20" s="77">
        <v>1.49</v>
      </c>
      <c r="D20" s="77">
        <v>1.54</v>
      </c>
      <c r="E20" s="77">
        <v>1.5669999999999999</v>
      </c>
      <c r="F20" s="77">
        <v>0.63900000000000001</v>
      </c>
      <c r="G20" s="77">
        <v>0.254</v>
      </c>
      <c r="H20" s="77">
        <v>0.45200000000000001</v>
      </c>
      <c r="I20" s="77">
        <v>0.80900000000000005</v>
      </c>
      <c r="J20" s="77">
        <v>0.66700000000000004</v>
      </c>
      <c r="K20" s="77">
        <v>0.45900000000000002</v>
      </c>
      <c r="L20" s="77">
        <v>0.29099999999999998</v>
      </c>
    </row>
    <row r="21" spans="2:12" x14ac:dyDescent="0.2">
      <c r="B21" s="67" t="s">
        <v>203</v>
      </c>
      <c r="C21" s="43">
        <v>-3.153</v>
      </c>
      <c r="D21" s="68">
        <v>0.67800000000000005</v>
      </c>
      <c r="E21" s="68">
        <v>0.41399999999999998</v>
      </c>
      <c r="F21" s="43">
        <v>-2.883</v>
      </c>
      <c r="G21" s="68">
        <v>0.32700000000000001</v>
      </c>
      <c r="H21" s="68">
        <v>4.2000000000000003E-2</v>
      </c>
      <c r="I21" s="68">
        <v>3.2000000000000001E-2</v>
      </c>
      <c r="J21" s="68">
        <v>0.123</v>
      </c>
      <c r="K21" s="68">
        <v>1.2010000000000001</v>
      </c>
      <c r="L21" s="68">
        <v>1.78</v>
      </c>
    </row>
    <row r="22" spans="2:12" x14ac:dyDescent="0.2">
      <c r="B22" s="76" t="s">
        <v>204</v>
      </c>
      <c r="C22" s="77">
        <v>0.78500000000000003</v>
      </c>
      <c r="D22" s="77">
        <v>1.016</v>
      </c>
      <c r="E22" s="73">
        <v>-2.1120000000000001</v>
      </c>
      <c r="F22" s="73">
        <v>-5.2279999999999998</v>
      </c>
      <c r="G22" s="77">
        <v>15.772</v>
      </c>
      <c r="H22" s="77">
        <v>0.58399999999999996</v>
      </c>
      <c r="I22" s="73">
        <v>-0.82899999999999996</v>
      </c>
      <c r="J22" s="77">
        <v>1.6160000000000001</v>
      </c>
      <c r="K22" s="77">
        <v>3.6779999999999999</v>
      </c>
      <c r="L22" s="77">
        <v>1.244</v>
      </c>
    </row>
    <row r="23" spans="2:12" x14ac:dyDescent="0.2">
      <c r="B23" s="66" t="s">
        <v>29</v>
      </c>
      <c r="C23" s="65">
        <v>1.254</v>
      </c>
      <c r="D23" s="65">
        <v>1.115</v>
      </c>
      <c r="E23" s="65">
        <v>1.302</v>
      </c>
      <c r="F23" s="65">
        <v>1.2589999999999999</v>
      </c>
      <c r="G23" s="65">
        <v>1.8029999999999999</v>
      </c>
      <c r="H23" s="65">
        <v>1.649</v>
      </c>
      <c r="I23" s="65">
        <v>1.02</v>
      </c>
      <c r="J23" s="65">
        <v>1.238</v>
      </c>
      <c r="K23" s="65">
        <v>1.407</v>
      </c>
      <c r="L23" s="65">
        <v>1.2609999999999999</v>
      </c>
    </row>
    <row r="24" spans="2:12" x14ac:dyDescent="0.2">
      <c r="B24" s="76" t="s">
        <v>205</v>
      </c>
      <c r="C24" s="77">
        <v>1.254</v>
      </c>
      <c r="D24" s="77">
        <v>1.115</v>
      </c>
      <c r="E24" s="77">
        <v>1.302</v>
      </c>
      <c r="F24" s="77">
        <v>1.2589999999999999</v>
      </c>
      <c r="G24" s="77">
        <v>1.8029999999999999</v>
      </c>
      <c r="H24" s="77">
        <v>1.649</v>
      </c>
      <c r="I24" s="77">
        <v>1.02</v>
      </c>
      <c r="J24" s="77">
        <v>1.238</v>
      </c>
      <c r="K24" s="77">
        <v>1.407</v>
      </c>
      <c r="L24" s="77">
        <v>1.288</v>
      </c>
    </row>
    <row r="25" spans="2:12" x14ac:dyDescent="0.2">
      <c r="B25" s="67" t="s">
        <v>206</v>
      </c>
      <c r="C25" s="68">
        <v>0</v>
      </c>
      <c r="D25" s="68">
        <v>0</v>
      </c>
      <c r="E25" s="68">
        <v>0</v>
      </c>
      <c r="F25" s="68">
        <v>0</v>
      </c>
      <c r="G25" s="68">
        <v>0</v>
      </c>
      <c r="H25" s="68">
        <v>0</v>
      </c>
      <c r="I25" s="68">
        <v>0</v>
      </c>
      <c r="J25" s="68">
        <v>0</v>
      </c>
      <c r="K25" s="68">
        <v>0</v>
      </c>
      <c r="L25" s="68">
        <v>2.7E-2</v>
      </c>
    </row>
    <row r="26" spans="2:12" x14ac:dyDescent="0.2">
      <c r="B26" s="80" t="s">
        <v>207</v>
      </c>
      <c r="C26" s="70">
        <v>12.23</v>
      </c>
      <c r="D26" s="70">
        <v>-1.9E-2</v>
      </c>
      <c r="E26" s="70">
        <v>-2.1999999999999999E-2</v>
      </c>
      <c r="F26" s="70">
        <v>0.69399999999999995</v>
      </c>
      <c r="G26" s="70">
        <v>1.8029999999999999</v>
      </c>
      <c r="H26" s="70">
        <v>-4.032</v>
      </c>
      <c r="I26" s="70">
        <v>0.18099999999999999</v>
      </c>
      <c r="J26" s="70">
        <v>-2.4E-2</v>
      </c>
      <c r="K26" s="70">
        <v>0.19700000000000001</v>
      </c>
      <c r="L26" s="70">
        <v>-1.163</v>
      </c>
    </row>
    <row r="27" spans="2:12" x14ac:dyDescent="0.2">
      <c r="B27" s="39" t="s">
        <v>208</v>
      </c>
      <c r="C27" s="40">
        <v>9.9670000000000005</v>
      </c>
      <c r="D27" s="51"/>
      <c r="E27" s="51"/>
      <c r="F27" s="51"/>
      <c r="G27" s="51"/>
      <c r="H27" s="51"/>
      <c r="I27" s="51"/>
      <c r="J27" s="51"/>
      <c r="K27" s="51"/>
      <c r="L27" s="51"/>
    </row>
    <row r="28" spans="2:12" x14ac:dyDescent="0.2">
      <c r="B28" s="72" t="s">
        <v>209</v>
      </c>
      <c r="C28" s="77">
        <v>9.6820000000000004</v>
      </c>
      <c r="D28" s="81"/>
      <c r="E28" s="81"/>
      <c r="F28" s="81"/>
      <c r="G28" s="81"/>
      <c r="H28" s="81"/>
      <c r="I28" s="81"/>
      <c r="J28" s="81"/>
      <c r="K28" s="81"/>
      <c r="L28" s="81"/>
    </row>
    <row r="29" spans="2:12" x14ac:dyDescent="0.2">
      <c r="B29" s="71" t="s">
        <v>210</v>
      </c>
      <c r="C29" s="68">
        <v>0.28499999999999998</v>
      </c>
      <c r="D29" s="82"/>
      <c r="E29" s="82"/>
      <c r="F29" s="82"/>
      <c r="G29" s="82"/>
      <c r="H29" s="82"/>
      <c r="I29" s="82"/>
      <c r="J29" s="82"/>
      <c r="K29" s="82"/>
      <c r="L29" s="82"/>
    </row>
    <row r="30" spans="2:12" x14ac:dyDescent="0.2">
      <c r="B30" s="76" t="s">
        <v>211</v>
      </c>
      <c r="C30" s="77">
        <v>1.198</v>
      </c>
      <c r="D30" s="77">
        <v>0</v>
      </c>
      <c r="E30" s="77">
        <v>0</v>
      </c>
      <c r="F30" s="77">
        <v>0</v>
      </c>
      <c r="G30" s="77">
        <v>0</v>
      </c>
      <c r="H30" s="77">
        <v>0</v>
      </c>
      <c r="I30" s="77">
        <v>0</v>
      </c>
      <c r="J30" s="77">
        <v>0</v>
      </c>
      <c r="K30" s="77">
        <v>0</v>
      </c>
      <c r="L30" s="77">
        <v>0</v>
      </c>
    </row>
    <row r="31" spans="2:12" x14ac:dyDescent="0.2">
      <c r="B31" s="67" t="s">
        <v>212</v>
      </c>
      <c r="C31" s="68">
        <v>0.114</v>
      </c>
      <c r="D31" s="82"/>
      <c r="E31" s="82"/>
      <c r="F31" s="82"/>
      <c r="G31" s="82"/>
      <c r="H31" s="82"/>
      <c r="I31" s="82"/>
      <c r="J31" s="82"/>
      <c r="K31" s="82"/>
      <c r="L31" s="82"/>
    </row>
    <row r="32" spans="2:12" x14ac:dyDescent="0.2">
      <c r="B32" s="69" t="s">
        <v>213</v>
      </c>
      <c r="C32" s="70">
        <v>0.249</v>
      </c>
      <c r="D32" s="70">
        <v>1.9E-2</v>
      </c>
      <c r="E32" s="70">
        <v>2.1999999999999999E-2</v>
      </c>
      <c r="F32" s="70">
        <v>-0.57299999999999995</v>
      </c>
      <c r="G32" s="70">
        <v>-0.10100000000000001</v>
      </c>
      <c r="H32" s="70">
        <v>4.0330000000000004</v>
      </c>
      <c r="I32" s="70">
        <v>-0.126</v>
      </c>
      <c r="J32" s="70">
        <v>2.4E-2</v>
      </c>
      <c r="K32" s="70">
        <v>-0.19700000000000001</v>
      </c>
      <c r="L32" s="70">
        <v>1.163</v>
      </c>
    </row>
    <row r="33" spans="2:13" x14ac:dyDescent="0.2">
      <c r="B33" s="83" t="s">
        <v>214</v>
      </c>
      <c r="C33" s="84"/>
      <c r="D33" s="75">
        <v>7.8E-2</v>
      </c>
      <c r="E33" s="75">
        <v>8.9999999999999993E-3</v>
      </c>
      <c r="F33" s="85">
        <v>-0.14699999999999999</v>
      </c>
      <c r="G33" s="75">
        <v>0.36799999999999999</v>
      </c>
      <c r="H33" s="75">
        <v>3.4460000000000002</v>
      </c>
      <c r="I33" s="75">
        <v>0.02</v>
      </c>
      <c r="J33" s="75">
        <v>4.2000000000000003E-2</v>
      </c>
      <c r="K33" s="75">
        <v>1.4E-2</v>
      </c>
      <c r="L33" s="75">
        <v>0.13900000000000001</v>
      </c>
    </row>
    <row r="34" spans="2:13" x14ac:dyDescent="0.2">
      <c r="B34" s="72" t="s">
        <v>215</v>
      </c>
      <c r="C34" s="77">
        <v>0.249</v>
      </c>
      <c r="D34" s="73">
        <v>-5.8999999999999997E-2</v>
      </c>
      <c r="E34" s="77">
        <v>1.2999999999999999E-2</v>
      </c>
      <c r="F34" s="73">
        <v>-0.42599999999999999</v>
      </c>
      <c r="G34" s="73">
        <v>-0.46899999999999997</v>
      </c>
      <c r="H34" s="77">
        <v>0.58699999999999997</v>
      </c>
      <c r="I34" s="73">
        <v>-0.14599999999999999</v>
      </c>
      <c r="J34" s="73">
        <v>-1.7999999999999999E-2</v>
      </c>
      <c r="K34" s="73">
        <v>-0.21099999999999999</v>
      </c>
      <c r="L34" s="77">
        <v>1.024</v>
      </c>
    </row>
    <row r="35" spans="2:13" x14ac:dyDescent="0.2">
      <c r="B35" s="39" t="s">
        <v>216</v>
      </c>
      <c r="C35" s="40">
        <v>1.2</v>
      </c>
      <c r="D35" s="51"/>
      <c r="E35" s="40">
        <v>0</v>
      </c>
      <c r="F35" s="40">
        <v>0.121</v>
      </c>
      <c r="G35" s="40">
        <v>1.702</v>
      </c>
      <c r="H35" s="40">
        <v>1E-3</v>
      </c>
      <c r="I35" s="40">
        <v>5.5E-2</v>
      </c>
      <c r="J35" s="51"/>
      <c r="K35" s="51"/>
      <c r="L35" s="51"/>
    </row>
    <row r="36" spans="2:13" x14ac:dyDescent="0.2">
      <c r="B36" s="72" t="s">
        <v>217</v>
      </c>
      <c r="C36" s="81"/>
      <c r="D36" s="81"/>
      <c r="E36" s="77">
        <v>0</v>
      </c>
      <c r="F36" s="77">
        <v>0.121</v>
      </c>
      <c r="G36" s="77">
        <v>1.702</v>
      </c>
      <c r="H36" s="77">
        <v>1E-3</v>
      </c>
      <c r="I36" s="77">
        <v>5.5E-2</v>
      </c>
      <c r="J36" s="81"/>
      <c r="K36" s="81"/>
      <c r="L36" s="81"/>
    </row>
    <row r="37" spans="2:13" x14ac:dyDescent="0.2">
      <c r="B37" s="71" t="s">
        <v>218</v>
      </c>
      <c r="C37" s="71"/>
      <c r="D37" s="68">
        <v>1.2</v>
      </c>
      <c r="E37" s="82"/>
      <c r="F37" s="82"/>
      <c r="G37" s="82"/>
      <c r="H37" s="82"/>
      <c r="I37" s="82"/>
      <c r="J37" s="82"/>
      <c r="K37" s="82"/>
      <c r="L37" s="82"/>
      <c r="M37" s="62"/>
    </row>
    <row r="38" spans="2:13" x14ac:dyDescent="0.2">
      <c r="B38" s="79" t="s">
        <v>219</v>
      </c>
      <c r="C38" s="70">
        <v>-11.83</v>
      </c>
      <c r="D38" s="70">
        <v>7.2329999999999997</v>
      </c>
      <c r="E38" s="70">
        <v>3.9670000000000001</v>
      </c>
      <c r="F38" s="70">
        <v>-3.016</v>
      </c>
      <c r="G38" s="70">
        <v>17.78</v>
      </c>
      <c r="H38" s="70">
        <v>-1.1160000000000001</v>
      </c>
      <c r="I38" s="70">
        <v>-0.64</v>
      </c>
      <c r="J38" s="70">
        <v>4.3449999999999998</v>
      </c>
      <c r="K38" s="70">
        <v>8.1590000000000007</v>
      </c>
      <c r="L38" s="70">
        <v>6.7960000000000003</v>
      </c>
    </row>
    <row r="39" spans="2:13" x14ac:dyDescent="0.2">
      <c r="B39" s="66" t="s">
        <v>32</v>
      </c>
      <c r="C39" s="65">
        <v>-3.6680000000000001</v>
      </c>
      <c r="D39" s="65">
        <v>1.339</v>
      </c>
      <c r="E39" s="65">
        <v>-0.36199999999999999</v>
      </c>
      <c r="F39" s="65">
        <v>-0.86399999999999999</v>
      </c>
      <c r="G39" s="65">
        <v>-0.13</v>
      </c>
      <c r="H39" s="65">
        <v>0.16</v>
      </c>
      <c r="I39" s="65">
        <v>-0.72399999999999998</v>
      </c>
      <c r="J39" s="65">
        <v>0.65</v>
      </c>
      <c r="K39" s="65">
        <v>0.40200000000000002</v>
      </c>
      <c r="L39" s="65">
        <v>2.1890000000000001</v>
      </c>
    </row>
    <row r="40" spans="2:13" x14ac:dyDescent="0.2">
      <c r="B40" s="76" t="s">
        <v>220</v>
      </c>
      <c r="C40" s="77">
        <v>0.17</v>
      </c>
      <c r="D40" s="77">
        <v>0.185</v>
      </c>
      <c r="E40" s="77">
        <v>0.29099999999999998</v>
      </c>
      <c r="F40" s="77">
        <v>0.191</v>
      </c>
      <c r="G40" s="77">
        <v>0.128</v>
      </c>
      <c r="H40" s="73">
        <v>-6.8000000000000005E-2</v>
      </c>
      <c r="I40" s="73">
        <v>-6.8000000000000005E-2</v>
      </c>
      <c r="J40" s="77">
        <v>6.9000000000000006E-2</v>
      </c>
      <c r="K40" s="73">
        <v>-0.04</v>
      </c>
      <c r="L40" s="73">
        <v>-0.11</v>
      </c>
    </row>
    <row r="41" spans="2:13" x14ac:dyDescent="0.2">
      <c r="B41" s="67" t="s">
        <v>221</v>
      </c>
      <c r="C41" s="68">
        <v>0.70099999999999996</v>
      </c>
      <c r="D41" s="68">
        <v>0.79100000000000004</v>
      </c>
      <c r="E41" s="68">
        <v>0.94799999999999995</v>
      </c>
      <c r="F41" s="68">
        <v>0.78100000000000003</v>
      </c>
      <c r="G41" s="68">
        <v>0.59799999999999998</v>
      </c>
      <c r="H41" s="68">
        <v>0.55400000000000005</v>
      </c>
      <c r="I41" s="68">
        <v>0.73799999999999999</v>
      </c>
      <c r="J41" s="68">
        <v>0.69</v>
      </c>
      <c r="K41" s="68">
        <v>0.86799999999999999</v>
      </c>
      <c r="L41" s="68">
        <v>0.63</v>
      </c>
    </row>
    <row r="42" spans="2:13" x14ac:dyDescent="0.2">
      <c r="B42" s="76" t="s">
        <v>222</v>
      </c>
      <c r="C42" s="73">
        <v>-1.909</v>
      </c>
      <c r="D42" s="77">
        <v>0.06</v>
      </c>
      <c r="E42" s="73">
        <v>-0.45200000000000001</v>
      </c>
      <c r="F42" s="73">
        <v>-2.524</v>
      </c>
      <c r="G42" s="77">
        <v>2.3980000000000001</v>
      </c>
      <c r="H42" s="73">
        <v>-0.49399999999999999</v>
      </c>
      <c r="I42" s="73">
        <v>-1.3240000000000001</v>
      </c>
      <c r="J42" s="73">
        <v>-0.34799999999999998</v>
      </c>
      <c r="K42" s="73">
        <v>-1.0189999999999999</v>
      </c>
      <c r="L42" s="77">
        <v>1.548</v>
      </c>
    </row>
    <row r="43" spans="2:13" x14ac:dyDescent="0.2">
      <c r="B43" s="67" t="s">
        <v>223</v>
      </c>
      <c r="C43" s="43">
        <v>-2.63</v>
      </c>
      <c r="D43" s="68">
        <v>0.30299999999999999</v>
      </c>
      <c r="E43" s="43">
        <v>-1.149</v>
      </c>
      <c r="F43" s="68">
        <v>0.68799999999999994</v>
      </c>
      <c r="G43" s="43">
        <v>-3.254</v>
      </c>
      <c r="H43" s="68">
        <v>0.16800000000000001</v>
      </c>
      <c r="I43" s="43">
        <v>-7.0000000000000007E-2</v>
      </c>
      <c r="J43" s="68">
        <v>0.23899999999999999</v>
      </c>
      <c r="K43" s="68">
        <v>0.59299999999999997</v>
      </c>
      <c r="L43" s="68">
        <v>0.121</v>
      </c>
    </row>
    <row r="44" spans="2:13" x14ac:dyDescent="0.2">
      <c r="B44" s="79" t="s">
        <v>224</v>
      </c>
      <c r="C44" s="70">
        <v>-8.1620000000000008</v>
      </c>
      <c r="D44" s="70">
        <v>5.8940000000000001</v>
      </c>
      <c r="E44" s="70">
        <v>4.3289999999999997</v>
      </c>
      <c r="F44" s="70">
        <v>-2.1520000000000001</v>
      </c>
      <c r="G44" s="70">
        <v>17.91</v>
      </c>
      <c r="H44" s="70">
        <v>-1.276</v>
      </c>
      <c r="I44" s="70">
        <v>8.4000000000000005E-2</v>
      </c>
      <c r="J44" s="70">
        <v>3.6949999999999998</v>
      </c>
      <c r="K44" s="70">
        <v>7.7569999999999997</v>
      </c>
      <c r="L44" s="70">
        <v>4.6070000000000002</v>
      </c>
    </row>
    <row r="45" spans="2:13" x14ac:dyDescent="0.2">
      <c r="B45" s="78" t="s">
        <v>225</v>
      </c>
      <c r="C45" s="68">
        <v>0.02</v>
      </c>
      <c r="D45" s="68">
        <v>1.4999999999999999E-2</v>
      </c>
      <c r="E45" s="43">
        <v>-1.7999999999999999E-2</v>
      </c>
      <c r="F45" s="43">
        <v>-0.17100000000000001</v>
      </c>
      <c r="G45" s="43">
        <v>-2.7E-2</v>
      </c>
      <c r="H45" s="68">
        <v>3.0000000000000001E-3</v>
      </c>
      <c r="I45" s="68">
        <v>3.6999999999999998E-2</v>
      </c>
      <c r="J45" s="68">
        <v>1.7999999999999999E-2</v>
      </c>
      <c r="K45" s="68">
        <v>2.5999999999999999E-2</v>
      </c>
      <c r="L45" s="68">
        <v>1.0999999999999999E-2</v>
      </c>
    </row>
    <row r="46" spans="2:13" x14ac:dyDescent="0.2">
      <c r="B46" s="79" t="s">
        <v>33</v>
      </c>
      <c r="C46" s="70">
        <v>-8.1820000000000004</v>
      </c>
      <c r="D46" s="70">
        <v>5.8789999999999996</v>
      </c>
      <c r="E46" s="70">
        <v>4.3470000000000004</v>
      </c>
      <c r="F46" s="70">
        <v>-1.9810000000000001</v>
      </c>
      <c r="G46" s="70">
        <v>17.937000000000001</v>
      </c>
      <c r="H46" s="70">
        <v>-1.2789999999999999</v>
      </c>
      <c r="I46" s="70">
        <v>4.7E-2</v>
      </c>
      <c r="J46" s="70">
        <v>3.677</v>
      </c>
      <c r="K46" s="70">
        <v>7.7309999999999999</v>
      </c>
      <c r="L46" s="70">
        <v>4.5960000000000001</v>
      </c>
    </row>
    <row r="47" spans="2:13" x14ac:dyDescent="0.2">
      <c r="B47" s="78" t="s">
        <v>226</v>
      </c>
      <c r="C47" s="43">
        <v>-8.1820000000000004</v>
      </c>
      <c r="D47" s="68">
        <v>5.8789999999999996</v>
      </c>
      <c r="E47" s="68">
        <v>4.3470000000000004</v>
      </c>
      <c r="F47" s="43">
        <v>-1.9810000000000001</v>
      </c>
      <c r="G47" s="68">
        <v>17.937000000000001</v>
      </c>
      <c r="H47" s="43">
        <v>-1.2789999999999999</v>
      </c>
      <c r="I47" s="68">
        <v>4.7E-2</v>
      </c>
      <c r="J47" s="68">
        <v>3.677</v>
      </c>
      <c r="K47" s="68">
        <v>7.7309999999999999</v>
      </c>
      <c r="L47" s="68">
        <v>4.5960000000000001</v>
      </c>
    </row>
    <row r="48" spans="2:13" x14ac:dyDescent="0.2">
      <c r="B48" s="79" t="s">
        <v>164</v>
      </c>
      <c r="C48" s="86"/>
      <c r="D48" s="86"/>
      <c r="E48" s="86"/>
      <c r="F48" s="86"/>
      <c r="G48" s="86"/>
      <c r="H48" s="86"/>
      <c r="I48" s="86"/>
      <c r="J48" s="86"/>
      <c r="K48" s="86"/>
      <c r="L48" s="86"/>
    </row>
    <row r="49" spans="2:12" x14ac:dyDescent="0.2">
      <c r="B49" s="78" t="s">
        <v>227</v>
      </c>
      <c r="C49" s="68">
        <v>9.5000000000000001E-2</v>
      </c>
      <c r="D49" s="68">
        <v>1.4590000000000001</v>
      </c>
      <c r="E49" s="68">
        <v>1.0720000000000001</v>
      </c>
      <c r="F49" s="43">
        <v>-0.372</v>
      </c>
      <c r="G49" s="68">
        <v>4.7590000000000003</v>
      </c>
      <c r="H49" s="43">
        <v>-1.032</v>
      </c>
      <c r="I49" s="68">
        <v>4.2999999999999997E-2</v>
      </c>
      <c r="J49" s="68">
        <v>0.91600000000000004</v>
      </c>
      <c r="K49" s="68">
        <v>1.968</v>
      </c>
      <c r="L49" s="68">
        <v>0.94599999999999995</v>
      </c>
    </row>
    <row r="50" spans="2:12" x14ac:dyDescent="0.2">
      <c r="B50" s="80" t="s">
        <v>228</v>
      </c>
      <c r="C50" s="70">
        <v>-2.056</v>
      </c>
      <c r="D50" s="70">
        <v>1.478</v>
      </c>
      <c r="E50" s="70">
        <v>1.087</v>
      </c>
      <c r="F50" s="70">
        <v>-0.49399999999999999</v>
      </c>
      <c r="G50" s="70">
        <v>4.4939999999999998</v>
      </c>
      <c r="H50" s="70">
        <v>-0.32200000000000001</v>
      </c>
      <c r="I50" s="70">
        <v>1.2E-2</v>
      </c>
      <c r="J50" s="70">
        <v>0.93</v>
      </c>
      <c r="K50" s="70">
        <v>1.94</v>
      </c>
      <c r="L50" s="70">
        <v>1.1599999999999999</v>
      </c>
    </row>
    <row r="51" spans="2:12" x14ac:dyDescent="0.2">
      <c r="B51" s="67" t="s">
        <v>229</v>
      </c>
      <c r="C51" s="164">
        <v>3979</v>
      </c>
      <c r="D51" s="164">
        <v>3978</v>
      </c>
      <c r="E51" s="164">
        <v>3998</v>
      </c>
      <c r="F51" s="164">
        <v>4014</v>
      </c>
      <c r="G51" s="164">
        <v>3991</v>
      </c>
      <c r="H51" s="164">
        <v>3973</v>
      </c>
      <c r="I51" s="164">
        <v>3972</v>
      </c>
      <c r="J51" s="164">
        <v>3974</v>
      </c>
      <c r="K51" s="164">
        <v>3975</v>
      </c>
      <c r="L51" s="164">
        <v>3973</v>
      </c>
    </row>
    <row r="52" spans="2:12" x14ac:dyDescent="0.2">
      <c r="B52" s="76" t="s">
        <v>230</v>
      </c>
      <c r="C52" s="165">
        <v>4209</v>
      </c>
      <c r="D52" s="165">
        <v>3964</v>
      </c>
      <c r="E52" s="165">
        <v>3973.624198</v>
      </c>
      <c r="F52" s="165">
        <v>3986.171738</v>
      </c>
      <c r="G52" s="165">
        <v>4004.2475519999998</v>
      </c>
      <c r="H52" s="165">
        <v>4096</v>
      </c>
      <c r="I52" s="165">
        <v>4071</v>
      </c>
      <c r="J52" s="165">
        <v>4071</v>
      </c>
      <c r="K52" s="165">
        <v>4071</v>
      </c>
      <c r="L52" s="165">
        <v>4047</v>
      </c>
    </row>
    <row r="53" spans="2:12" x14ac:dyDescent="0.2">
      <c r="B53" s="50" t="s">
        <v>231</v>
      </c>
      <c r="C53" s="40">
        <v>-2.056</v>
      </c>
      <c r="D53" s="40">
        <v>1.462</v>
      </c>
      <c r="E53" s="40">
        <v>1.0760000000000001</v>
      </c>
      <c r="F53" s="40">
        <v>-0.49399999999999999</v>
      </c>
      <c r="G53" s="40">
        <v>4.4470000000000001</v>
      </c>
      <c r="H53" s="40">
        <v>-0.32200000000000001</v>
      </c>
      <c r="I53" s="40">
        <v>1.2E-2</v>
      </c>
      <c r="J53" s="40">
        <v>0.92</v>
      </c>
      <c r="K53" s="40">
        <v>1.93</v>
      </c>
      <c r="L53" s="40">
        <v>1.1499999999999999</v>
      </c>
    </row>
    <row r="54" spans="2:12" x14ac:dyDescent="0.2">
      <c r="B54" s="76" t="s">
        <v>232</v>
      </c>
      <c r="C54" s="36">
        <v>3979</v>
      </c>
      <c r="D54" s="36">
        <v>4021</v>
      </c>
      <c r="E54" s="36">
        <v>4041</v>
      </c>
      <c r="F54" s="36">
        <v>4014</v>
      </c>
      <c r="G54" s="36">
        <v>4034</v>
      </c>
      <c r="H54" s="36">
        <v>3973</v>
      </c>
      <c r="I54" s="36">
        <v>4004</v>
      </c>
      <c r="J54" s="36">
        <v>3998</v>
      </c>
      <c r="K54" s="36">
        <v>3998</v>
      </c>
      <c r="L54" s="36">
        <v>3999</v>
      </c>
    </row>
    <row r="55" spans="2:12" x14ac:dyDescent="0.2">
      <c r="B55" s="67" t="s">
        <v>230</v>
      </c>
      <c r="C55" s="38">
        <v>4209</v>
      </c>
      <c r="D55" s="38">
        <v>3964</v>
      </c>
      <c r="E55" s="38">
        <v>3973.624198</v>
      </c>
      <c r="F55" s="38">
        <v>3986.171738</v>
      </c>
      <c r="G55" s="38">
        <v>4004.2475519999998</v>
      </c>
      <c r="H55" s="38">
        <v>4096</v>
      </c>
      <c r="I55" s="38">
        <v>4071</v>
      </c>
      <c r="J55" s="38">
        <v>4071</v>
      </c>
      <c r="K55" s="38">
        <v>4071</v>
      </c>
      <c r="L55" s="38">
        <v>4047</v>
      </c>
    </row>
    <row r="56" spans="2:12" x14ac:dyDescent="0.2">
      <c r="B56" s="87" t="s">
        <v>233</v>
      </c>
      <c r="C56" s="77">
        <v>89.162999999999997</v>
      </c>
      <c r="D56" s="77">
        <v>85.131</v>
      </c>
      <c r="E56" s="77">
        <v>86.566000000000003</v>
      </c>
      <c r="F56" s="77">
        <v>92.942999999999998</v>
      </c>
      <c r="G56" s="77">
        <v>92.757999999999996</v>
      </c>
      <c r="H56" s="77">
        <v>87.617000000000004</v>
      </c>
      <c r="I56" s="77">
        <v>93.731999999999999</v>
      </c>
      <c r="J56" s="77">
        <v>90.906999999999996</v>
      </c>
      <c r="K56" s="77">
        <v>84.72</v>
      </c>
      <c r="L56" s="77">
        <v>87.167000000000002</v>
      </c>
    </row>
    <row r="57" spans="2:12" x14ac:dyDescent="0.2">
      <c r="B57" s="50" t="s">
        <v>234</v>
      </c>
      <c r="C57" s="40">
        <v>0.75</v>
      </c>
      <c r="D57" s="40">
        <v>0.78</v>
      </c>
      <c r="E57" s="40">
        <v>1.25</v>
      </c>
      <c r="F57" s="40">
        <v>0.5</v>
      </c>
      <c r="G57" s="40">
        <v>0.1</v>
      </c>
      <c r="H57" s="40">
        <v>0.15</v>
      </c>
      <c r="I57" s="40">
        <v>0.6</v>
      </c>
      <c r="J57" s="40">
        <v>0.73</v>
      </c>
      <c r="K57" s="40">
        <v>0.65</v>
      </c>
      <c r="L57" s="40">
        <v>0.85</v>
      </c>
    </row>
    <row r="58" spans="2:12" x14ac:dyDescent="0.2">
      <c r="B58" s="76" t="s">
        <v>235</v>
      </c>
      <c r="C58" s="81"/>
      <c r="D58" s="77">
        <v>53.347999999999999</v>
      </c>
      <c r="E58" s="77">
        <v>116.203</v>
      </c>
      <c r="F58" s="81"/>
      <c r="G58" s="77">
        <v>2.2490000000000001</v>
      </c>
      <c r="H58" s="81"/>
      <c r="I58" s="36">
        <v>5128.2051279999996</v>
      </c>
      <c r="J58" s="77">
        <v>79.347999999999999</v>
      </c>
      <c r="K58" s="77">
        <v>33.679000000000002</v>
      </c>
      <c r="L58" s="77">
        <v>73.912999999999997</v>
      </c>
    </row>
    <row r="59" spans="2:12" x14ac:dyDescent="0.2">
      <c r="B59" s="57" t="s">
        <v>4</v>
      </c>
      <c r="C59" s="51"/>
      <c r="D59" s="51"/>
      <c r="E59" s="51"/>
      <c r="F59" s="51"/>
      <c r="G59" s="51"/>
      <c r="H59" s="51"/>
      <c r="I59" s="51"/>
      <c r="J59" s="51"/>
      <c r="K59" s="51"/>
      <c r="L59" s="51"/>
    </row>
    <row r="60" spans="2:12" x14ac:dyDescent="0.2">
      <c r="B60" s="80" t="s">
        <v>4</v>
      </c>
      <c r="C60" s="70">
        <v>8.5269999999999992</v>
      </c>
      <c r="D60" s="70">
        <v>10.962</v>
      </c>
      <c r="E60" s="70">
        <v>11.901</v>
      </c>
      <c r="F60" s="70">
        <v>12.901999999999999</v>
      </c>
      <c r="G60" s="70">
        <v>10.993</v>
      </c>
      <c r="H60" s="70">
        <v>2.88</v>
      </c>
      <c r="I60" s="70">
        <v>9.0389999999999997</v>
      </c>
      <c r="J60" s="70">
        <v>11.461</v>
      </c>
      <c r="K60" s="70">
        <v>12.878</v>
      </c>
      <c r="L60" s="70">
        <v>12.295999999999999</v>
      </c>
    </row>
    <row r="61" spans="2:12" x14ac:dyDescent="0.2">
      <c r="B61" s="67" t="s">
        <v>236</v>
      </c>
      <c r="C61" s="68">
        <v>2.532</v>
      </c>
      <c r="D61" s="68">
        <v>5.0949999999999998</v>
      </c>
      <c r="E61" s="68">
        <v>5.3780000000000001</v>
      </c>
      <c r="F61" s="68">
        <v>6.4089999999999998</v>
      </c>
      <c r="G61" s="68">
        <v>5.0330000000000004</v>
      </c>
      <c r="H61" s="43">
        <v>-4.577</v>
      </c>
      <c r="I61" s="68">
        <v>0.54900000000000004</v>
      </c>
      <c r="J61" s="68">
        <v>3.153</v>
      </c>
      <c r="K61" s="68">
        <v>4.4249999999999998</v>
      </c>
      <c r="L61" s="68">
        <v>3.5790000000000002</v>
      </c>
    </row>
    <row r="62" spans="2:12" x14ac:dyDescent="0.2">
      <c r="B62" s="76" t="s">
        <v>194</v>
      </c>
      <c r="C62" s="77">
        <v>5.9950000000000001</v>
      </c>
      <c r="D62" s="77">
        <v>5.867</v>
      </c>
      <c r="E62" s="77">
        <v>6.5229999999999997</v>
      </c>
      <c r="F62" s="77">
        <v>6.4930000000000003</v>
      </c>
      <c r="G62" s="77">
        <v>5.96</v>
      </c>
      <c r="H62" s="77">
        <v>7.4569999999999999</v>
      </c>
      <c r="I62" s="77">
        <v>8.49</v>
      </c>
      <c r="J62" s="77">
        <v>8.3079999999999998</v>
      </c>
      <c r="K62" s="77">
        <v>8.4529999999999994</v>
      </c>
      <c r="L62" s="77">
        <v>8.7170000000000005</v>
      </c>
    </row>
    <row r="63" spans="2:12" x14ac:dyDescent="0.2">
      <c r="B63" s="88" t="s">
        <v>237</v>
      </c>
      <c r="C63" s="89"/>
      <c r="D63" s="89"/>
      <c r="E63" s="89"/>
      <c r="F63" s="89"/>
      <c r="G63" s="89"/>
      <c r="H63" s="89"/>
      <c r="I63" s="89"/>
      <c r="J63" s="89"/>
      <c r="K63" s="89"/>
      <c r="L63" s="8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A4F4B-37EA-1540-8837-475CFD7A4FEE}">
  <dimension ref="B2:L83"/>
  <sheetViews>
    <sheetView topLeftCell="A17" zoomScale="130" zoomScaleNormal="130" workbookViewId="0">
      <selection activeCell="B12" sqref="B12"/>
    </sheetView>
  </sheetViews>
  <sheetFormatPr baseColWidth="10" defaultRowHeight="15" x14ac:dyDescent="0.2"/>
  <cols>
    <col min="2" max="2" width="37" customWidth="1"/>
  </cols>
  <sheetData>
    <row r="2" spans="2:12" x14ac:dyDescent="0.2">
      <c r="B2" s="28" t="s">
        <v>99</v>
      </c>
    </row>
    <row r="3" spans="2:12" x14ac:dyDescent="0.2">
      <c r="B3" s="29" t="s">
        <v>100</v>
      </c>
    </row>
    <row r="4" spans="2:12" x14ac:dyDescent="0.2"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</row>
    <row r="6" spans="2:12" x14ac:dyDescent="0.2">
      <c r="B6" s="31" t="s">
        <v>101</v>
      </c>
      <c r="C6" s="31"/>
      <c r="D6" s="31"/>
      <c r="E6" s="31"/>
      <c r="F6" s="31"/>
      <c r="G6" s="31"/>
      <c r="H6" s="31"/>
      <c r="I6" s="31"/>
      <c r="J6" s="31"/>
      <c r="K6" s="31"/>
      <c r="L6" s="31"/>
    </row>
    <row r="7" spans="2:12" x14ac:dyDescent="0.2">
      <c r="B7" s="31" t="s">
        <v>102</v>
      </c>
      <c r="C7" s="31"/>
      <c r="D7" s="31"/>
      <c r="E7" s="31"/>
      <c r="F7" s="31"/>
      <c r="G7" s="31"/>
      <c r="H7" s="31"/>
      <c r="I7" s="31"/>
      <c r="J7" s="31"/>
      <c r="K7" s="31"/>
      <c r="L7" s="31"/>
    </row>
    <row r="8" spans="2:12" x14ac:dyDescent="0.2">
      <c r="B8" s="31" t="s">
        <v>103</v>
      </c>
      <c r="C8" s="31"/>
      <c r="D8" s="31"/>
      <c r="E8" s="31"/>
      <c r="F8" s="31"/>
      <c r="G8" s="31"/>
      <c r="H8" s="31"/>
      <c r="I8" s="31"/>
      <c r="J8" s="31"/>
      <c r="K8" s="31"/>
      <c r="L8" s="31"/>
    </row>
    <row r="9" spans="2:12" x14ac:dyDescent="0.2">
      <c r="B9" s="31"/>
      <c r="C9" s="31" t="s">
        <v>104</v>
      </c>
      <c r="D9" s="31" t="s">
        <v>105</v>
      </c>
      <c r="E9" s="31" t="s">
        <v>106</v>
      </c>
      <c r="F9" s="31" t="s">
        <v>107</v>
      </c>
      <c r="G9" s="31" t="s">
        <v>108</v>
      </c>
      <c r="H9" s="31" t="s">
        <v>109</v>
      </c>
      <c r="I9" s="31" t="s">
        <v>110</v>
      </c>
      <c r="J9" s="31" t="s">
        <v>111</v>
      </c>
      <c r="K9" s="31" t="s">
        <v>112</v>
      </c>
      <c r="L9" s="31" t="s">
        <v>113</v>
      </c>
    </row>
    <row r="10" spans="2:12" x14ac:dyDescent="0.2">
      <c r="B10" s="31"/>
      <c r="C10" s="31"/>
      <c r="D10" s="31"/>
      <c r="E10" s="31"/>
      <c r="F10" s="31"/>
      <c r="G10" s="31"/>
      <c r="H10" s="31"/>
      <c r="I10" s="31"/>
      <c r="J10" s="31"/>
      <c r="K10" s="31" t="s">
        <v>114</v>
      </c>
      <c r="L10" s="31"/>
    </row>
    <row r="11" spans="2:12" x14ac:dyDescent="0.2">
      <c r="B11" s="32" t="s">
        <v>35</v>
      </c>
      <c r="C11" s="32"/>
      <c r="D11" s="32"/>
      <c r="E11" s="32"/>
      <c r="F11" s="32"/>
      <c r="G11" s="32"/>
      <c r="H11" s="32"/>
      <c r="I11" s="32"/>
      <c r="J11" s="32"/>
      <c r="K11" s="32"/>
      <c r="L11" s="32"/>
    </row>
    <row r="12" spans="2:12" x14ac:dyDescent="0.2">
      <c r="B12" s="33" t="s">
        <v>36</v>
      </c>
      <c r="C12" s="34">
        <v>38.487000000000002</v>
      </c>
      <c r="D12" s="34">
        <v>38.347999999999999</v>
      </c>
      <c r="E12" s="34">
        <v>40.170999999999999</v>
      </c>
      <c r="F12" s="34">
        <v>44.07</v>
      </c>
      <c r="G12" s="34">
        <v>49.593000000000004</v>
      </c>
      <c r="H12" s="34">
        <v>49.960999999999999</v>
      </c>
      <c r="I12" s="34">
        <v>34.651000000000003</v>
      </c>
      <c r="J12" s="34">
        <v>33.951000000000001</v>
      </c>
      <c r="K12" s="34">
        <v>38.927</v>
      </c>
      <c r="L12" s="34">
        <v>38.826999999999998</v>
      </c>
    </row>
    <row r="13" spans="2:12" x14ac:dyDescent="0.2">
      <c r="B13" s="35" t="s">
        <v>115</v>
      </c>
      <c r="C13" s="36">
        <v>23.356000000000002</v>
      </c>
      <c r="D13" s="36">
        <v>22.934999999999999</v>
      </c>
      <c r="E13" s="36">
        <v>24.861999999999998</v>
      </c>
      <c r="F13" s="36">
        <v>25.134</v>
      </c>
      <c r="G13" s="36">
        <v>20.54</v>
      </c>
      <c r="H13" s="36">
        <v>25.242999999999999</v>
      </c>
      <c r="I13" s="36">
        <v>17.504000000000001</v>
      </c>
      <c r="J13" s="36">
        <v>16.718</v>
      </c>
      <c r="K13" s="36">
        <v>18.492000000000001</v>
      </c>
      <c r="L13" s="36">
        <v>15.904999999999999</v>
      </c>
    </row>
    <row r="14" spans="2:12" x14ac:dyDescent="0.2">
      <c r="B14" s="37" t="s">
        <v>116</v>
      </c>
      <c r="C14" s="38">
        <v>15.131</v>
      </c>
      <c r="D14" s="38">
        <v>15.413</v>
      </c>
      <c r="E14" s="38">
        <v>15.308999999999999</v>
      </c>
      <c r="F14" s="38">
        <v>18.936</v>
      </c>
      <c r="G14" s="38">
        <v>29.053000000000001</v>
      </c>
      <c r="H14" s="38">
        <v>24.718</v>
      </c>
      <c r="I14" s="38">
        <v>17.146999999999998</v>
      </c>
      <c r="J14" s="38">
        <v>17.233000000000001</v>
      </c>
      <c r="K14" s="38">
        <v>20.434999999999999</v>
      </c>
      <c r="L14" s="38">
        <v>22.922000000000001</v>
      </c>
    </row>
    <row r="15" spans="2:12" x14ac:dyDescent="0.2">
      <c r="B15" s="33" t="s">
        <v>62</v>
      </c>
      <c r="C15" s="34">
        <v>64.841999999999999</v>
      </c>
      <c r="D15" s="34">
        <v>66.908000000000001</v>
      </c>
      <c r="E15" s="34">
        <v>62.32</v>
      </c>
      <c r="F15" s="34">
        <v>54.573999999999998</v>
      </c>
      <c r="G15" s="34">
        <v>44.037999999999997</v>
      </c>
      <c r="H15" s="34">
        <v>52.575000000000003</v>
      </c>
      <c r="I15" s="34">
        <v>63.139000000000003</v>
      </c>
      <c r="J15" s="34">
        <v>65.811999999999998</v>
      </c>
      <c r="K15" s="34">
        <v>63.048999999999999</v>
      </c>
      <c r="L15" s="34">
        <v>57.591000000000001</v>
      </c>
    </row>
    <row r="16" spans="2:12" x14ac:dyDescent="0.2">
      <c r="B16" s="39" t="s">
        <v>117</v>
      </c>
      <c r="C16" s="40">
        <v>64.528000000000006</v>
      </c>
      <c r="D16" s="40">
        <v>66.572999999999993</v>
      </c>
      <c r="E16" s="40">
        <v>62.026000000000003</v>
      </c>
      <c r="F16" s="40">
        <v>54.448999999999998</v>
      </c>
      <c r="G16" s="40">
        <v>43.912999999999997</v>
      </c>
      <c r="H16" s="40">
        <v>52.393999999999998</v>
      </c>
      <c r="I16" s="40">
        <v>62.887999999999998</v>
      </c>
      <c r="J16" s="40">
        <v>65.548000000000002</v>
      </c>
      <c r="K16" s="40">
        <v>62.808999999999997</v>
      </c>
      <c r="L16" s="40">
        <v>57.368000000000002</v>
      </c>
    </row>
    <row r="17" spans="2:12" x14ac:dyDescent="0.2">
      <c r="B17" s="41" t="s">
        <v>118</v>
      </c>
      <c r="C17" s="36">
        <v>64.635999999999996</v>
      </c>
      <c r="D17" s="36">
        <v>66.637</v>
      </c>
      <c r="E17" s="36">
        <v>62.131</v>
      </c>
      <c r="F17" s="36">
        <v>54.497</v>
      </c>
      <c r="G17" s="36">
        <v>44.279000000000003</v>
      </c>
      <c r="H17" s="36">
        <v>52.850999999999999</v>
      </c>
      <c r="I17" s="36">
        <v>63.579000000000001</v>
      </c>
      <c r="J17" s="36">
        <v>66.230999999999995</v>
      </c>
      <c r="K17" s="36">
        <v>63.817999999999998</v>
      </c>
      <c r="L17" s="36">
        <v>58.244</v>
      </c>
    </row>
    <row r="18" spans="2:12" x14ac:dyDescent="0.2">
      <c r="B18" s="42" t="s">
        <v>119</v>
      </c>
      <c r="C18" s="43">
        <v>-0.108</v>
      </c>
      <c r="D18" s="43">
        <v>-6.4000000000000001E-2</v>
      </c>
      <c r="E18" s="43">
        <v>-0.105</v>
      </c>
      <c r="F18" s="43">
        <v>-4.8000000000000001E-2</v>
      </c>
      <c r="G18" s="43">
        <v>-0.36599999999999999</v>
      </c>
      <c r="H18" s="43">
        <v>-0.45700000000000002</v>
      </c>
      <c r="I18" s="43">
        <v>-0.69099999999999995</v>
      </c>
      <c r="J18" s="43">
        <v>-0.68300000000000005</v>
      </c>
      <c r="K18" s="43">
        <v>-1.0089999999999999</v>
      </c>
      <c r="L18" s="43">
        <v>-0.876</v>
      </c>
    </row>
    <row r="19" spans="2:12" x14ac:dyDescent="0.2">
      <c r="B19" s="35" t="s">
        <v>120</v>
      </c>
      <c r="C19" s="36">
        <v>0.314</v>
      </c>
      <c r="D19" s="36">
        <v>0.33500000000000002</v>
      </c>
      <c r="E19" s="36">
        <v>0.29399999999999998</v>
      </c>
      <c r="F19" s="36">
        <v>0.125</v>
      </c>
      <c r="G19" s="36">
        <v>0.125</v>
      </c>
      <c r="H19" s="36">
        <v>0.18099999999999999</v>
      </c>
      <c r="I19" s="36">
        <v>0.251</v>
      </c>
      <c r="J19" s="36">
        <v>0.26400000000000001</v>
      </c>
      <c r="K19" s="36">
        <v>0.24</v>
      </c>
      <c r="L19" s="36">
        <v>0.223</v>
      </c>
    </row>
    <row r="20" spans="2:12" x14ac:dyDescent="0.2">
      <c r="B20" s="33" t="s">
        <v>38</v>
      </c>
      <c r="C20" s="34">
        <v>15.285</v>
      </c>
      <c r="D20" s="34">
        <v>14.951000000000001</v>
      </c>
      <c r="E20" s="34">
        <v>15.651</v>
      </c>
      <c r="F20" s="34">
        <v>14.08</v>
      </c>
      <c r="G20" s="34">
        <v>12.065</v>
      </c>
      <c r="H20" s="34">
        <v>10.808</v>
      </c>
      <c r="I20" s="34">
        <v>10.786</v>
      </c>
      <c r="J20" s="34">
        <v>11.22</v>
      </c>
      <c r="K20" s="34">
        <v>11.176</v>
      </c>
      <c r="L20" s="34">
        <v>8.8979999999999997</v>
      </c>
    </row>
    <row r="21" spans="2:12" x14ac:dyDescent="0.2">
      <c r="B21" s="35" t="s">
        <v>121</v>
      </c>
      <c r="C21" s="36">
        <v>9.2650000000000006</v>
      </c>
      <c r="D21" s="36">
        <v>9.5570000000000004</v>
      </c>
      <c r="E21" s="36">
        <v>9.4550000000000001</v>
      </c>
      <c r="F21" s="36">
        <v>8.0830000000000002</v>
      </c>
      <c r="G21" s="36">
        <v>6.28</v>
      </c>
      <c r="H21" s="36">
        <v>6.1319999999999997</v>
      </c>
      <c r="I21" s="36">
        <v>6.3840000000000003</v>
      </c>
      <c r="J21" s="36">
        <v>6.6840000000000002</v>
      </c>
      <c r="K21" s="36">
        <v>6.7789999999999999</v>
      </c>
      <c r="L21" s="36">
        <v>5.9429999999999996</v>
      </c>
    </row>
    <row r="22" spans="2:12" x14ac:dyDescent="0.2">
      <c r="B22" s="37" t="s">
        <v>122</v>
      </c>
      <c r="C22" s="38">
        <v>6.02</v>
      </c>
      <c r="D22" s="38">
        <v>5.3940000000000001</v>
      </c>
      <c r="E22" s="38">
        <v>6.1959999999999997</v>
      </c>
      <c r="F22" s="38">
        <v>5.9969999999999999</v>
      </c>
      <c r="G22" s="38">
        <v>5.7850000000000001</v>
      </c>
      <c r="H22" s="38">
        <v>4.6760000000000002</v>
      </c>
      <c r="I22" s="38">
        <v>4.4020000000000001</v>
      </c>
      <c r="J22" s="38">
        <v>4.5359999999999996</v>
      </c>
      <c r="K22" s="38">
        <v>4.3970000000000002</v>
      </c>
      <c r="L22" s="38">
        <v>3.843</v>
      </c>
    </row>
    <row r="23" spans="2:12" x14ac:dyDescent="0.2">
      <c r="B23" s="35" t="s">
        <v>123</v>
      </c>
      <c r="C23" s="36">
        <v>0</v>
      </c>
      <c r="D23" s="36">
        <v>0</v>
      </c>
      <c r="E23" s="36">
        <v>0</v>
      </c>
      <c r="F23" s="36">
        <v>0</v>
      </c>
      <c r="G23" s="36">
        <v>0</v>
      </c>
      <c r="H23" s="36">
        <v>0</v>
      </c>
      <c r="I23" s="36">
        <v>0</v>
      </c>
      <c r="J23" s="36">
        <v>0</v>
      </c>
      <c r="K23" s="36">
        <v>0</v>
      </c>
      <c r="L23" s="44">
        <v>-0.88800000000000001</v>
      </c>
    </row>
    <row r="24" spans="2:12" x14ac:dyDescent="0.2">
      <c r="B24" s="33" t="s">
        <v>39</v>
      </c>
      <c r="C24" s="34">
        <v>4.8730000000000002</v>
      </c>
      <c r="D24" s="34">
        <v>4.2670000000000003</v>
      </c>
      <c r="E24" s="34">
        <v>3.339</v>
      </c>
      <c r="F24" s="34">
        <v>3.7519999999999998</v>
      </c>
      <c r="G24" s="34">
        <v>3.3</v>
      </c>
      <c r="H24" s="34">
        <v>3.4</v>
      </c>
      <c r="I24" s="34">
        <v>5.4710000000000001</v>
      </c>
      <c r="J24" s="34">
        <v>3.6659999999999999</v>
      </c>
      <c r="K24" s="34">
        <v>3.649</v>
      </c>
      <c r="L24" s="34">
        <v>3.145</v>
      </c>
    </row>
    <row r="25" spans="2:12" x14ac:dyDescent="0.2">
      <c r="B25" s="35" t="s">
        <v>124</v>
      </c>
      <c r="C25" s="36">
        <v>4.8730000000000002</v>
      </c>
      <c r="D25" s="36">
        <v>4.2670000000000003</v>
      </c>
      <c r="E25" s="36">
        <v>3.339</v>
      </c>
      <c r="F25" s="36">
        <v>3.7519999999999998</v>
      </c>
      <c r="G25" s="36">
        <v>3.3</v>
      </c>
      <c r="H25" s="36">
        <v>3.4</v>
      </c>
      <c r="I25" s="36">
        <v>5.4710000000000001</v>
      </c>
      <c r="J25" s="36">
        <v>3.6659999999999999</v>
      </c>
      <c r="K25" s="36">
        <v>3.649</v>
      </c>
      <c r="L25" s="36">
        <v>3.145</v>
      </c>
    </row>
    <row r="26" spans="2:12" x14ac:dyDescent="0.2">
      <c r="B26" s="45" t="s">
        <v>40</v>
      </c>
      <c r="C26" s="38">
        <v>123.48699999999999</v>
      </c>
      <c r="D26" s="38">
        <v>124.474</v>
      </c>
      <c r="E26" s="38">
        <v>121.48099999999999</v>
      </c>
      <c r="F26" s="38">
        <v>116.476</v>
      </c>
      <c r="G26" s="38">
        <v>108.996</v>
      </c>
      <c r="H26" s="38">
        <v>116.744</v>
      </c>
      <c r="I26" s="38">
        <v>114.047</v>
      </c>
      <c r="J26" s="38">
        <v>114.649</v>
      </c>
      <c r="K26" s="38">
        <v>116.801</v>
      </c>
      <c r="L26" s="38">
        <v>108.461</v>
      </c>
    </row>
    <row r="27" spans="2:12" x14ac:dyDescent="0.2">
      <c r="B27" s="33" t="s">
        <v>41</v>
      </c>
      <c r="C27" s="34">
        <v>68.216999999999999</v>
      </c>
      <c r="D27" s="34">
        <v>67.183000000000007</v>
      </c>
      <c r="E27" s="34">
        <v>64.037999999999997</v>
      </c>
      <c r="F27" s="34">
        <v>61.484000000000002</v>
      </c>
      <c r="G27" s="34">
        <v>64.837000000000003</v>
      </c>
      <c r="H27" s="34">
        <v>66.320999999999998</v>
      </c>
      <c r="I27" s="34">
        <v>67.114000000000004</v>
      </c>
      <c r="J27" s="34">
        <v>65.296999999999997</v>
      </c>
      <c r="K27" s="34">
        <v>63.561999999999998</v>
      </c>
      <c r="L27" s="34">
        <v>60.901000000000003</v>
      </c>
    </row>
    <row r="28" spans="2:12" x14ac:dyDescent="0.2">
      <c r="B28" s="39" t="s">
        <v>125</v>
      </c>
      <c r="C28" s="40">
        <v>108.65900000000001</v>
      </c>
      <c r="D28" s="40">
        <v>104.443</v>
      </c>
      <c r="E28" s="40">
        <v>101.56699999999999</v>
      </c>
      <c r="F28" s="40">
        <v>89.031000000000006</v>
      </c>
      <c r="G28" s="40">
        <v>101.994</v>
      </c>
      <c r="H28" s="40">
        <v>105.008</v>
      </c>
      <c r="I28" s="40">
        <v>103.902</v>
      </c>
      <c r="J28" s="40">
        <v>101.68300000000001</v>
      </c>
      <c r="K28" s="40">
        <v>99.421999999999997</v>
      </c>
      <c r="L28" s="40">
        <v>94.319000000000003</v>
      </c>
    </row>
    <row r="29" spans="2:12" x14ac:dyDescent="0.2">
      <c r="B29" s="41" t="s">
        <v>126</v>
      </c>
      <c r="C29" s="36">
        <v>15.305</v>
      </c>
      <c r="D29" s="36">
        <v>13.912000000000001</v>
      </c>
      <c r="E29" s="36">
        <v>12.635999999999999</v>
      </c>
      <c r="F29" s="36">
        <v>11.946</v>
      </c>
      <c r="G29" s="36">
        <v>12.438000000000001</v>
      </c>
      <c r="H29" s="36">
        <v>12.557</v>
      </c>
      <c r="I29" s="36">
        <v>11.9</v>
      </c>
      <c r="J29" s="36">
        <v>11.477</v>
      </c>
      <c r="K29" s="36">
        <v>11.096</v>
      </c>
      <c r="L29" s="36">
        <v>10.308</v>
      </c>
    </row>
    <row r="30" spans="2:12" x14ac:dyDescent="0.2">
      <c r="B30" s="42" t="s">
        <v>127</v>
      </c>
      <c r="C30" s="38">
        <v>0.40799999999999997</v>
      </c>
      <c r="D30" s="38">
        <v>0.36</v>
      </c>
      <c r="E30" s="38">
        <v>0.36699999999999999</v>
      </c>
      <c r="F30" s="38">
        <v>0.371</v>
      </c>
      <c r="G30" s="38">
        <v>0.45</v>
      </c>
      <c r="H30" s="38">
        <v>0.45100000000000001</v>
      </c>
      <c r="I30" s="38">
        <v>0.42099999999999999</v>
      </c>
      <c r="J30" s="38">
        <v>0.44500000000000001</v>
      </c>
      <c r="K30" s="38">
        <v>0.41099999999999998</v>
      </c>
      <c r="L30" s="38">
        <v>0.39100000000000001</v>
      </c>
    </row>
    <row r="31" spans="2:12" x14ac:dyDescent="0.2">
      <c r="B31" s="41" t="s">
        <v>128</v>
      </c>
      <c r="C31" s="36">
        <v>41.055999999999997</v>
      </c>
      <c r="D31" s="36">
        <v>40.765000000000001</v>
      </c>
      <c r="E31" s="36">
        <v>41.201999999999998</v>
      </c>
      <c r="F31" s="36">
        <v>38.963999999999999</v>
      </c>
      <c r="G31" s="36">
        <v>39.636000000000003</v>
      </c>
      <c r="H31" s="36">
        <v>40.463000000000001</v>
      </c>
      <c r="I31" s="36">
        <v>38.939</v>
      </c>
      <c r="J31" s="36">
        <v>38.72</v>
      </c>
      <c r="K31" s="36">
        <v>37.533000000000001</v>
      </c>
      <c r="L31" s="36">
        <v>34.149000000000001</v>
      </c>
    </row>
    <row r="32" spans="2:12" x14ac:dyDescent="0.2">
      <c r="B32" s="42" t="s">
        <v>129</v>
      </c>
      <c r="C32" s="38">
        <v>4.0940000000000003</v>
      </c>
      <c r="D32" s="38">
        <v>6.24</v>
      </c>
      <c r="E32" s="38">
        <v>5.3079999999999998</v>
      </c>
      <c r="F32" s="38">
        <v>3.2029999999999998</v>
      </c>
      <c r="G32" s="38">
        <v>2.1520000000000001</v>
      </c>
      <c r="H32" s="38">
        <v>1.718</v>
      </c>
      <c r="I32" s="38">
        <v>1.71</v>
      </c>
      <c r="J32" s="38">
        <v>2.0659999999999998</v>
      </c>
      <c r="K32" s="38">
        <v>2.6080000000000001</v>
      </c>
      <c r="L32" s="38">
        <v>2.17</v>
      </c>
    </row>
    <row r="33" spans="2:12" x14ac:dyDescent="0.2">
      <c r="B33" s="41" t="s">
        <v>130</v>
      </c>
      <c r="C33" s="36">
        <v>6.0170000000000003</v>
      </c>
      <c r="D33" s="36">
        <v>5.694</v>
      </c>
      <c r="E33" s="36">
        <v>5.423</v>
      </c>
      <c r="F33" s="36">
        <v>5.0419999999999998</v>
      </c>
      <c r="G33" s="36">
        <v>4.5979999999999999</v>
      </c>
      <c r="H33" s="36">
        <v>3.9</v>
      </c>
      <c r="I33" s="36">
        <v>3.6909999999999998</v>
      </c>
      <c r="J33" s="36">
        <v>3.3490000000000002</v>
      </c>
      <c r="K33" s="36">
        <v>3.1179999999999999</v>
      </c>
      <c r="L33" s="36">
        <v>2.8029999999999999</v>
      </c>
    </row>
    <row r="34" spans="2:12" x14ac:dyDescent="0.2">
      <c r="B34" s="42" t="s">
        <v>131</v>
      </c>
      <c r="C34" s="38">
        <v>30.638999999999999</v>
      </c>
      <c r="D34" s="38">
        <v>25.423999999999999</v>
      </c>
      <c r="E34" s="38">
        <v>24.181999999999999</v>
      </c>
      <c r="F34" s="38">
        <v>26.055</v>
      </c>
      <c r="G34" s="38">
        <v>29.981999999999999</v>
      </c>
      <c r="H34" s="38">
        <v>32.485999999999997</v>
      </c>
      <c r="I34" s="38">
        <v>33.386000000000003</v>
      </c>
      <c r="J34" s="38">
        <v>33.557000000000002</v>
      </c>
      <c r="K34" s="38">
        <v>32.658999999999999</v>
      </c>
      <c r="L34" s="38">
        <v>32.823</v>
      </c>
    </row>
    <row r="35" spans="2:12" x14ac:dyDescent="0.2">
      <c r="B35" s="41" t="s">
        <v>132</v>
      </c>
      <c r="C35" s="36">
        <v>8.7509999999999994</v>
      </c>
      <c r="D35" s="36">
        <v>9.74</v>
      </c>
      <c r="E35" s="36">
        <v>10.616</v>
      </c>
      <c r="F35" s="36">
        <v>10.471</v>
      </c>
      <c r="G35" s="36">
        <v>11.401</v>
      </c>
      <c r="H35" s="36">
        <v>12.146000000000001</v>
      </c>
      <c r="I35" s="36">
        <v>12.44</v>
      </c>
      <c r="J35" s="36">
        <v>12.069000000000001</v>
      </c>
      <c r="K35" s="36">
        <v>11.997</v>
      </c>
      <c r="L35" s="36">
        <v>11.675000000000001</v>
      </c>
    </row>
    <row r="36" spans="2:12" x14ac:dyDescent="0.2">
      <c r="B36" s="42" t="s">
        <v>133</v>
      </c>
      <c r="C36" s="38">
        <v>2.3889999999999998</v>
      </c>
      <c r="D36" s="38">
        <v>2.3079999999999998</v>
      </c>
      <c r="E36" s="38">
        <v>1.833</v>
      </c>
      <c r="F36" s="38">
        <v>1.4470000000000001</v>
      </c>
      <c r="G36" s="38">
        <v>1.337</v>
      </c>
      <c r="H36" s="38">
        <v>1.2869999999999999</v>
      </c>
      <c r="I36" s="38">
        <v>1.415</v>
      </c>
      <c r="J36" s="46"/>
      <c r="K36" s="46"/>
      <c r="L36" s="46"/>
    </row>
    <row r="37" spans="2:12" x14ac:dyDescent="0.2">
      <c r="B37" s="35" t="s">
        <v>134</v>
      </c>
      <c r="C37" s="36">
        <v>40.442</v>
      </c>
      <c r="D37" s="36">
        <v>37.26</v>
      </c>
      <c r="E37" s="36">
        <v>37.529000000000003</v>
      </c>
      <c r="F37" s="36">
        <v>27.547000000000001</v>
      </c>
      <c r="G37" s="36">
        <v>37.156999999999996</v>
      </c>
      <c r="H37" s="36">
        <v>38.686999999999998</v>
      </c>
      <c r="I37" s="36">
        <v>36.787999999999997</v>
      </c>
      <c r="J37" s="36">
        <v>36.386000000000003</v>
      </c>
      <c r="K37" s="36">
        <v>35.86</v>
      </c>
      <c r="L37" s="36">
        <v>33.417999999999999</v>
      </c>
    </row>
    <row r="38" spans="2:12" x14ac:dyDescent="0.2">
      <c r="B38" s="33" t="s">
        <v>135</v>
      </c>
      <c r="C38" s="34">
        <v>64.56</v>
      </c>
      <c r="D38" s="34">
        <v>66.814999999999998</v>
      </c>
      <c r="E38" s="34">
        <v>61.688000000000002</v>
      </c>
      <c r="F38" s="34">
        <v>53.307000000000002</v>
      </c>
      <c r="G38" s="34">
        <v>56.898000000000003</v>
      </c>
      <c r="H38" s="34">
        <v>62.57</v>
      </c>
      <c r="I38" s="34">
        <v>57.597000000000001</v>
      </c>
      <c r="J38" s="34">
        <v>58.692</v>
      </c>
      <c r="K38" s="34">
        <v>59.776000000000003</v>
      </c>
      <c r="L38" s="34">
        <v>53.447000000000003</v>
      </c>
    </row>
    <row r="39" spans="2:12" x14ac:dyDescent="0.2">
      <c r="B39" s="35" t="s">
        <v>136</v>
      </c>
      <c r="C39" s="36">
        <v>2.7530000000000001</v>
      </c>
      <c r="D39" s="36">
        <v>6.8209999999999997</v>
      </c>
      <c r="E39" s="36">
        <v>5.79</v>
      </c>
      <c r="F39" s="36">
        <v>3.198</v>
      </c>
      <c r="G39" s="36">
        <v>5.4450000000000003</v>
      </c>
      <c r="H39" s="36">
        <v>6.601</v>
      </c>
      <c r="I39" s="36">
        <v>3.7189999999999999</v>
      </c>
      <c r="J39" s="36">
        <v>2.9590000000000001</v>
      </c>
      <c r="K39" s="36">
        <v>3.448</v>
      </c>
      <c r="L39" s="36">
        <v>3.5230000000000001</v>
      </c>
    </row>
    <row r="40" spans="2:12" x14ac:dyDescent="0.2">
      <c r="B40" s="37" t="s">
        <v>137</v>
      </c>
      <c r="C40" s="38">
        <v>0.35799999999999998</v>
      </c>
      <c r="D40" s="38">
        <v>0.20799999999999999</v>
      </c>
      <c r="E40" s="38">
        <v>0.248</v>
      </c>
      <c r="F40" s="38">
        <v>0.20599999999999999</v>
      </c>
      <c r="G40" s="38">
        <v>0.19700000000000001</v>
      </c>
      <c r="H40" s="38">
        <v>0.69199999999999995</v>
      </c>
      <c r="I40" s="38">
        <v>0.17499999999999999</v>
      </c>
      <c r="J40" s="38">
        <v>0.189</v>
      </c>
      <c r="K40" s="38">
        <v>0.14599999999999999</v>
      </c>
      <c r="L40" s="38">
        <v>0</v>
      </c>
    </row>
    <row r="41" spans="2:12" x14ac:dyDescent="0.2">
      <c r="B41" s="35" t="s">
        <v>138</v>
      </c>
      <c r="C41" s="36">
        <v>61.448999999999998</v>
      </c>
      <c r="D41" s="36">
        <v>59.786000000000001</v>
      </c>
      <c r="E41" s="36">
        <v>55.65</v>
      </c>
      <c r="F41" s="36">
        <v>49.902999999999999</v>
      </c>
      <c r="G41" s="36">
        <v>51.256</v>
      </c>
      <c r="H41" s="36">
        <v>55.277000000000001</v>
      </c>
      <c r="I41" s="36">
        <v>53.703000000000003</v>
      </c>
      <c r="J41" s="36">
        <v>55.543999999999997</v>
      </c>
      <c r="K41" s="36">
        <v>56.182000000000002</v>
      </c>
      <c r="L41" s="36">
        <v>49.923999999999999</v>
      </c>
    </row>
    <row r="42" spans="2:12" x14ac:dyDescent="0.2">
      <c r="B42" s="33" t="s">
        <v>43</v>
      </c>
      <c r="C42" s="34">
        <v>0.48299999999999998</v>
      </c>
      <c r="D42" s="34">
        <v>0.65800000000000003</v>
      </c>
      <c r="E42" s="34">
        <v>0.68300000000000005</v>
      </c>
      <c r="F42" s="34">
        <v>0.60299999999999998</v>
      </c>
      <c r="G42" s="34">
        <v>0.61899999999999999</v>
      </c>
      <c r="H42" s="34">
        <v>0.25800000000000001</v>
      </c>
      <c r="I42" s="34">
        <v>0.27800000000000002</v>
      </c>
      <c r="J42" s="34">
        <v>0.442</v>
      </c>
      <c r="K42" s="34">
        <v>0.28799999999999998</v>
      </c>
      <c r="L42" s="34">
        <v>0.248</v>
      </c>
    </row>
    <row r="43" spans="2:12" x14ac:dyDescent="0.2">
      <c r="B43" s="35" t="s">
        <v>139</v>
      </c>
      <c r="C43" s="36">
        <v>0.48299999999999998</v>
      </c>
      <c r="D43" s="36">
        <v>0.65800000000000003</v>
      </c>
      <c r="E43" s="36">
        <v>0.68300000000000005</v>
      </c>
      <c r="F43" s="36">
        <v>0.60299999999999998</v>
      </c>
      <c r="G43" s="36">
        <v>0.61899999999999999</v>
      </c>
      <c r="H43" s="36">
        <v>0.25800000000000001</v>
      </c>
      <c r="I43" s="36">
        <v>0.27800000000000002</v>
      </c>
      <c r="J43" s="36">
        <v>0.26400000000000001</v>
      </c>
      <c r="K43" s="36">
        <v>7.4999999999999997E-2</v>
      </c>
      <c r="L43" s="36">
        <v>0.05</v>
      </c>
    </row>
    <row r="44" spans="2:12" x14ac:dyDescent="0.2">
      <c r="B44" s="37" t="s">
        <v>140</v>
      </c>
      <c r="C44" s="38">
        <v>0</v>
      </c>
      <c r="D44" s="38">
        <v>0</v>
      </c>
      <c r="E44" s="38">
        <v>0</v>
      </c>
      <c r="F44" s="38">
        <v>0</v>
      </c>
      <c r="G44" s="38">
        <v>0</v>
      </c>
      <c r="H44" s="38">
        <v>0</v>
      </c>
      <c r="I44" s="38">
        <v>0</v>
      </c>
      <c r="J44" s="38">
        <v>0.17799999999999999</v>
      </c>
      <c r="K44" s="38">
        <v>0.21299999999999999</v>
      </c>
      <c r="L44" s="38">
        <v>0.19800000000000001</v>
      </c>
    </row>
    <row r="45" spans="2:12" x14ac:dyDescent="0.2">
      <c r="B45" s="47" t="s">
        <v>141</v>
      </c>
      <c r="C45" s="48">
        <v>21.952999999999999</v>
      </c>
      <c r="D45" s="48">
        <v>16.375</v>
      </c>
      <c r="E45" s="48">
        <v>16.984999999999999</v>
      </c>
      <c r="F45" s="48">
        <v>15.552</v>
      </c>
      <c r="G45" s="48">
        <v>13.795999999999999</v>
      </c>
      <c r="H45" s="48">
        <v>12.423</v>
      </c>
      <c r="I45" s="48">
        <v>11.863</v>
      </c>
      <c r="J45" s="48">
        <v>10.412000000000001</v>
      </c>
      <c r="K45" s="48">
        <v>10.762</v>
      </c>
      <c r="L45" s="48">
        <v>9.7050000000000001</v>
      </c>
    </row>
    <row r="46" spans="2:12" x14ac:dyDescent="0.2">
      <c r="B46" s="33" t="s">
        <v>44</v>
      </c>
      <c r="C46" s="34">
        <v>10.46</v>
      </c>
      <c r="D46" s="34">
        <v>9.6910000000000007</v>
      </c>
      <c r="E46" s="34">
        <v>8.4350000000000005</v>
      </c>
      <c r="F46" s="34">
        <v>8.4619999999999997</v>
      </c>
      <c r="G46" s="34">
        <v>11.888999999999999</v>
      </c>
      <c r="H46" s="34">
        <v>8.9450000000000003</v>
      </c>
      <c r="I46" s="34">
        <v>7.6379999999999999</v>
      </c>
      <c r="J46" s="34">
        <v>7.048</v>
      </c>
      <c r="K46" s="34">
        <v>7.3070000000000004</v>
      </c>
      <c r="L46" s="34">
        <v>5.1890000000000001</v>
      </c>
    </row>
    <row r="47" spans="2:12" x14ac:dyDescent="0.2">
      <c r="B47" s="35" t="s">
        <v>142</v>
      </c>
      <c r="C47" s="36">
        <v>10.46</v>
      </c>
      <c r="D47" s="36">
        <v>9.6910000000000007</v>
      </c>
      <c r="E47" s="36">
        <v>8.4350000000000005</v>
      </c>
      <c r="F47" s="36">
        <v>8.4619999999999997</v>
      </c>
      <c r="G47" s="36">
        <v>11.888999999999999</v>
      </c>
      <c r="H47" s="36">
        <v>8.9450000000000003</v>
      </c>
      <c r="I47" s="36">
        <v>7.6379999999999999</v>
      </c>
      <c r="J47" s="36">
        <v>7.048</v>
      </c>
      <c r="K47" s="36">
        <v>7.3070000000000004</v>
      </c>
      <c r="L47" s="36">
        <v>5.1890000000000001</v>
      </c>
    </row>
    <row r="48" spans="2:12" x14ac:dyDescent="0.2">
      <c r="B48" s="45" t="s">
        <v>45</v>
      </c>
      <c r="C48" s="38">
        <v>289.16000000000003</v>
      </c>
      <c r="D48" s="38">
        <v>285.19600000000003</v>
      </c>
      <c r="E48" s="38">
        <v>273.31</v>
      </c>
      <c r="F48" s="38">
        <v>255.88399999999999</v>
      </c>
      <c r="G48" s="38">
        <v>257.03500000000003</v>
      </c>
      <c r="H48" s="38">
        <v>267.26100000000002</v>
      </c>
      <c r="I48" s="38">
        <v>258.53699999999998</v>
      </c>
      <c r="J48" s="38">
        <v>256.54000000000002</v>
      </c>
      <c r="K48" s="38">
        <v>258.49599999999998</v>
      </c>
      <c r="L48" s="38">
        <v>237.95099999999999</v>
      </c>
    </row>
    <row r="49" spans="2:12" x14ac:dyDescent="0.2">
      <c r="B49" s="32" t="s">
        <v>46</v>
      </c>
      <c r="C49" s="49"/>
      <c r="D49" s="49"/>
      <c r="E49" s="49"/>
      <c r="F49" s="49"/>
      <c r="G49" s="49"/>
      <c r="H49" s="49"/>
      <c r="I49" s="49"/>
      <c r="J49" s="49"/>
      <c r="K49" s="49"/>
      <c r="L49" s="49"/>
    </row>
    <row r="50" spans="2:12" x14ac:dyDescent="0.2">
      <c r="B50" s="50" t="s">
        <v>143</v>
      </c>
      <c r="C50" s="51"/>
      <c r="D50" s="51"/>
      <c r="E50" s="51"/>
      <c r="F50" s="51"/>
      <c r="G50" s="51"/>
      <c r="H50" s="51"/>
      <c r="I50" s="51"/>
      <c r="J50" s="51"/>
      <c r="K50" s="51"/>
      <c r="L50" s="51"/>
    </row>
    <row r="51" spans="2:12" x14ac:dyDescent="0.2">
      <c r="B51" s="52" t="s">
        <v>47</v>
      </c>
      <c r="C51" s="48">
        <v>57.869</v>
      </c>
      <c r="D51" s="48">
        <v>55.506999999999998</v>
      </c>
      <c r="E51" s="48">
        <v>50.15</v>
      </c>
      <c r="F51" s="48">
        <v>50.567999999999998</v>
      </c>
      <c r="G51" s="48">
        <v>50.036999999999999</v>
      </c>
      <c r="H51" s="48">
        <v>51.665999999999997</v>
      </c>
      <c r="I51" s="48">
        <v>54.313000000000002</v>
      </c>
      <c r="J51" s="48">
        <v>53.493000000000002</v>
      </c>
      <c r="K51" s="48">
        <v>51.621000000000002</v>
      </c>
      <c r="L51" s="48">
        <v>49.668999999999997</v>
      </c>
    </row>
    <row r="52" spans="2:12" x14ac:dyDescent="0.2">
      <c r="B52" s="52" t="s">
        <v>48</v>
      </c>
      <c r="C52" s="48">
        <v>25.809000000000001</v>
      </c>
      <c r="D52" s="48">
        <v>24.128</v>
      </c>
      <c r="E52" s="48">
        <v>25.992000000000001</v>
      </c>
      <c r="F52" s="48">
        <v>25.605</v>
      </c>
      <c r="G52" s="48">
        <v>22.349</v>
      </c>
      <c r="H52" s="48">
        <v>22.204000000000001</v>
      </c>
      <c r="I52" s="48">
        <v>20.672999999999998</v>
      </c>
      <c r="J52" s="48">
        <v>21.52</v>
      </c>
      <c r="K52" s="48">
        <v>23.282</v>
      </c>
      <c r="L52" s="48">
        <v>21.295999999999999</v>
      </c>
    </row>
    <row r="53" spans="2:12" x14ac:dyDescent="0.2">
      <c r="B53" s="53" t="s">
        <v>50</v>
      </c>
      <c r="C53" s="34">
        <v>31.212</v>
      </c>
      <c r="D53" s="34">
        <v>27.224</v>
      </c>
      <c r="E53" s="34">
        <v>25.388999999999999</v>
      </c>
      <c r="F53" s="34">
        <v>20.693000000000001</v>
      </c>
      <c r="G53" s="34">
        <v>18.341000000000001</v>
      </c>
      <c r="H53" s="34">
        <v>23.321999999999999</v>
      </c>
      <c r="I53" s="34">
        <v>23.146000000000001</v>
      </c>
      <c r="J53" s="34">
        <v>20.556000000000001</v>
      </c>
      <c r="K53" s="34">
        <v>19.696999999999999</v>
      </c>
      <c r="L53" s="34">
        <v>19.315999999999999</v>
      </c>
    </row>
    <row r="54" spans="2:12" x14ac:dyDescent="0.2">
      <c r="B54" s="42" t="s">
        <v>144</v>
      </c>
      <c r="C54" s="38">
        <v>4.0659999999999998</v>
      </c>
      <c r="D54" s="38">
        <v>3.0070000000000001</v>
      </c>
      <c r="E54" s="38">
        <v>2.8180000000000001</v>
      </c>
      <c r="F54" s="38">
        <v>2.5449999999999999</v>
      </c>
      <c r="G54" s="38">
        <v>2.2210000000000001</v>
      </c>
      <c r="H54" s="38">
        <v>2.2839999999999998</v>
      </c>
      <c r="I54" s="38">
        <v>2.3740000000000001</v>
      </c>
      <c r="J54" s="38">
        <v>2.298</v>
      </c>
      <c r="K54" s="38">
        <v>2.238</v>
      </c>
      <c r="L54" s="38">
        <v>2.0649999999999999</v>
      </c>
    </row>
    <row r="55" spans="2:12" x14ac:dyDescent="0.2">
      <c r="B55" s="41" t="s">
        <v>145</v>
      </c>
      <c r="C55" s="36">
        <v>27.146000000000001</v>
      </c>
      <c r="D55" s="36">
        <v>24.216999999999999</v>
      </c>
      <c r="E55" s="36">
        <v>22.571000000000002</v>
      </c>
      <c r="F55" s="36">
        <v>18.148</v>
      </c>
      <c r="G55" s="36">
        <v>16.12</v>
      </c>
      <c r="H55" s="36">
        <v>21.038</v>
      </c>
      <c r="I55" s="36">
        <v>20.771999999999998</v>
      </c>
      <c r="J55" s="36">
        <v>18.257999999999999</v>
      </c>
      <c r="K55" s="36">
        <v>17.459</v>
      </c>
      <c r="L55" s="36">
        <v>17.251000000000001</v>
      </c>
    </row>
    <row r="56" spans="2:12" x14ac:dyDescent="0.2">
      <c r="B56" s="37" t="s">
        <v>51</v>
      </c>
      <c r="C56" s="38">
        <v>114.89</v>
      </c>
      <c r="D56" s="38">
        <v>106.85899999999999</v>
      </c>
      <c r="E56" s="38">
        <v>101.53100000000001</v>
      </c>
      <c r="F56" s="38">
        <v>96.866</v>
      </c>
      <c r="G56" s="38">
        <v>90.727000000000004</v>
      </c>
      <c r="H56" s="38">
        <v>97.191999999999993</v>
      </c>
      <c r="I56" s="38">
        <v>98.132000000000005</v>
      </c>
      <c r="J56" s="38">
        <v>95.569000000000003</v>
      </c>
      <c r="K56" s="38">
        <v>94.6</v>
      </c>
      <c r="L56" s="38">
        <v>90.281000000000006</v>
      </c>
    </row>
    <row r="57" spans="2:12" x14ac:dyDescent="0.2">
      <c r="B57" s="54" t="s">
        <v>146</v>
      </c>
      <c r="C57" s="49"/>
      <c r="D57" s="49"/>
      <c r="E57" s="49"/>
      <c r="F57" s="49"/>
      <c r="G57" s="49"/>
      <c r="H57" s="49"/>
      <c r="I57" s="49"/>
      <c r="J57" s="49"/>
      <c r="K57" s="49"/>
      <c r="L57" s="49"/>
    </row>
    <row r="58" spans="2:12" x14ac:dyDescent="0.2">
      <c r="B58" s="53" t="s">
        <v>52</v>
      </c>
      <c r="C58" s="34">
        <v>107.869</v>
      </c>
      <c r="D58" s="34">
        <v>105.355</v>
      </c>
      <c r="E58" s="34">
        <v>100.95699999999999</v>
      </c>
      <c r="F58" s="34">
        <v>89.906000000000006</v>
      </c>
      <c r="G58" s="34">
        <v>89.447999999999993</v>
      </c>
      <c r="H58" s="34">
        <v>111.33199999999999</v>
      </c>
      <c r="I58" s="34">
        <v>102.408</v>
      </c>
      <c r="J58" s="34">
        <v>100.72</v>
      </c>
      <c r="K58" s="34">
        <v>102.666</v>
      </c>
      <c r="L58" s="34">
        <v>93.301000000000002</v>
      </c>
    </row>
    <row r="59" spans="2:12" x14ac:dyDescent="0.2">
      <c r="B59" s="41" t="s">
        <v>147</v>
      </c>
      <c r="C59" s="36">
        <v>105.086</v>
      </c>
      <c r="D59" s="36">
        <v>102.65</v>
      </c>
      <c r="E59" s="36">
        <v>98.736999999999995</v>
      </c>
      <c r="F59" s="36">
        <v>88.198999999999998</v>
      </c>
      <c r="G59" s="36">
        <v>87.834999999999994</v>
      </c>
      <c r="H59" s="36">
        <v>109.98699999999999</v>
      </c>
      <c r="I59" s="36">
        <v>101.28</v>
      </c>
      <c r="J59" s="36">
        <v>100.72</v>
      </c>
      <c r="K59" s="36">
        <v>102.666</v>
      </c>
      <c r="L59" s="36">
        <v>93.301000000000002</v>
      </c>
    </row>
    <row r="60" spans="2:12" x14ac:dyDescent="0.2">
      <c r="B60" s="42" t="s">
        <v>148</v>
      </c>
      <c r="C60" s="38">
        <v>2.7829999999999999</v>
      </c>
      <c r="D60" s="38">
        <v>2.7050000000000001</v>
      </c>
      <c r="E60" s="38">
        <v>2.2200000000000002</v>
      </c>
      <c r="F60" s="38">
        <v>1.7070000000000001</v>
      </c>
      <c r="G60" s="38">
        <v>1.613</v>
      </c>
      <c r="H60" s="38">
        <v>1.345</v>
      </c>
      <c r="I60" s="38">
        <v>1.1279999999999999</v>
      </c>
      <c r="J60" s="38">
        <v>0</v>
      </c>
      <c r="K60" s="38">
        <v>0</v>
      </c>
      <c r="L60" s="38">
        <v>0</v>
      </c>
    </row>
    <row r="61" spans="2:12" x14ac:dyDescent="0.2">
      <c r="B61" s="52" t="s">
        <v>149</v>
      </c>
      <c r="C61" s="48">
        <v>8.5239999999999991</v>
      </c>
      <c r="D61" s="48">
        <v>9.3559999999999999</v>
      </c>
      <c r="E61" s="48">
        <v>11.585000000000001</v>
      </c>
      <c r="F61" s="48">
        <v>10.637</v>
      </c>
      <c r="G61" s="48">
        <v>15.372999999999999</v>
      </c>
      <c r="H61" s="48">
        <v>18.047999999999998</v>
      </c>
      <c r="I61" s="48">
        <v>16.722000000000001</v>
      </c>
      <c r="J61" s="48">
        <v>15.723000000000001</v>
      </c>
      <c r="K61" s="48">
        <v>16.891999999999999</v>
      </c>
      <c r="L61" s="48">
        <v>16.914999999999999</v>
      </c>
    </row>
    <row r="62" spans="2:12" x14ac:dyDescent="0.2">
      <c r="B62" s="52" t="s">
        <v>150</v>
      </c>
      <c r="C62" s="48">
        <v>1.3540000000000001</v>
      </c>
      <c r="D62" s="48">
        <v>1.0740000000000001</v>
      </c>
      <c r="E62" s="48">
        <v>1.0049999999999999</v>
      </c>
      <c r="F62" s="48">
        <v>1.5489999999999999</v>
      </c>
      <c r="G62" s="48">
        <v>1.581</v>
      </c>
      <c r="H62" s="48">
        <v>0.53800000000000003</v>
      </c>
      <c r="I62" s="48">
        <v>0.49</v>
      </c>
      <c r="J62" s="48">
        <v>0.59699999999999998</v>
      </c>
      <c r="K62" s="48">
        <v>0.81499999999999995</v>
      </c>
      <c r="L62" s="48">
        <v>0.69099999999999995</v>
      </c>
    </row>
    <row r="63" spans="2:12" x14ac:dyDescent="0.2">
      <c r="B63" s="53" t="s">
        <v>53</v>
      </c>
      <c r="C63" s="34">
        <v>20.542999999999999</v>
      </c>
      <c r="D63" s="34">
        <v>17.693999999999999</v>
      </c>
      <c r="E63" s="34">
        <v>15.433999999999999</v>
      </c>
      <c r="F63" s="34">
        <v>13.759</v>
      </c>
      <c r="G63" s="34">
        <v>11.284000000000001</v>
      </c>
      <c r="H63" s="34">
        <v>9.34</v>
      </c>
      <c r="I63" s="34">
        <v>7.5549999999999997</v>
      </c>
      <c r="J63" s="34">
        <v>7.8650000000000002</v>
      </c>
      <c r="K63" s="34">
        <v>7.819</v>
      </c>
      <c r="L63" s="34">
        <v>7.48</v>
      </c>
    </row>
    <row r="64" spans="2:12" x14ac:dyDescent="0.2">
      <c r="B64" s="42" t="s">
        <v>151</v>
      </c>
      <c r="C64" s="38">
        <v>15.183</v>
      </c>
      <c r="D64" s="38">
        <v>12.784000000000001</v>
      </c>
      <c r="E64" s="38">
        <v>10.382999999999999</v>
      </c>
      <c r="F64" s="38">
        <v>8.8759999999999994</v>
      </c>
      <c r="G64" s="38">
        <v>6.601</v>
      </c>
      <c r="H64" s="38">
        <v>4.7809999999999997</v>
      </c>
      <c r="I64" s="38">
        <v>3.3639999999999999</v>
      </c>
      <c r="J64" s="38">
        <v>3.88</v>
      </c>
      <c r="K64" s="38">
        <v>3.99</v>
      </c>
      <c r="L64" s="38">
        <v>3.7930000000000001</v>
      </c>
    </row>
    <row r="65" spans="2:12" x14ac:dyDescent="0.2">
      <c r="B65" s="41" t="s">
        <v>152</v>
      </c>
      <c r="C65" s="36">
        <v>5.36</v>
      </c>
      <c r="D65" s="36">
        <v>4.91</v>
      </c>
      <c r="E65" s="36">
        <v>5.0510000000000002</v>
      </c>
      <c r="F65" s="36">
        <v>4.883</v>
      </c>
      <c r="G65" s="36">
        <v>4.6829999999999998</v>
      </c>
      <c r="H65" s="36">
        <v>4.5590000000000002</v>
      </c>
      <c r="I65" s="36">
        <v>4.1909999999999998</v>
      </c>
      <c r="J65" s="36">
        <v>3.9849999999999999</v>
      </c>
      <c r="K65" s="36">
        <v>3.8290000000000002</v>
      </c>
      <c r="L65" s="36">
        <v>3.6869999999999998</v>
      </c>
    </row>
    <row r="66" spans="2:12" x14ac:dyDescent="0.2">
      <c r="B66" s="37" t="s">
        <v>54</v>
      </c>
      <c r="C66" s="38">
        <v>253.18</v>
      </c>
      <c r="D66" s="38">
        <v>240.33799999999999</v>
      </c>
      <c r="E66" s="38">
        <v>230.512</v>
      </c>
      <c r="F66" s="38">
        <v>212.71700000000001</v>
      </c>
      <c r="G66" s="38">
        <v>208.41300000000001</v>
      </c>
      <c r="H66" s="38">
        <v>236.45</v>
      </c>
      <c r="I66" s="38">
        <v>225.30699999999999</v>
      </c>
      <c r="J66" s="38">
        <v>220.47399999999999</v>
      </c>
      <c r="K66" s="38">
        <v>222.792</v>
      </c>
      <c r="L66" s="38">
        <v>208.66800000000001</v>
      </c>
    </row>
    <row r="67" spans="2:12" x14ac:dyDescent="0.2">
      <c r="B67" s="54" t="s">
        <v>153</v>
      </c>
      <c r="C67" s="49"/>
      <c r="D67" s="49"/>
      <c r="E67" s="49"/>
      <c r="F67" s="49"/>
      <c r="G67" s="49"/>
      <c r="H67" s="49"/>
      <c r="I67" s="49"/>
      <c r="J67" s="49"/>
      <c r="K67" s="49"/>
      <c r="L67" s="49"/>
    </row>
    <row r="68" spans="2:12" x14ac:dyDescent="0.2">
      <c r="B68" s="53" t="s">
        <v>55</v>
      </c>
      <c r="C68" s="34">
        <v>35.951999999999998</v>
      </c>
      <c r="D68" s="34">
        <v>44.835000000000001</v>
      </c>
      <c r="E68" s="34">
        <v>42.773000000000003</v>
      </c>
      <c r="F68" s="34">
        <v>43.241999999999997</v>
      </c>
      <c r="G68" s="34">
        <v>48.518999999999998</v>
      </c>
      <c r="H68" s="34">
        <v>30.69</v>
      </c>
      <c r="I68" s="34">
        <v>33.185000000000002</v>
      </c>
      <c r="J68" s="34">
        <v>35.932000000000002</v>
      </c>
      <c r="K68" s="34">
        <v>35.578000000000003</v>
      </c>
      <c r="L68" s="34">
        <v>29.17</v>
      </c>
    </row>
    <row r="69" spans="2:12" x14ac:dyDescent="0.2">
      <c r="B69" s="41" t="s">
        <v>154</v>
      </c>
      <c r="C69" s="36">
        <v>4.2000000000000003E-2</v>
      </c>
      <c r="D69" s="36">
        <v>4.2000000000000003E-2</v>
      </c>
      <c r="E69" s="36">
        <v>4.2000000000000003E-2</v>
      </c>
      <c r="F69" s="36">
        <v>4.2000000000000003E-2</v>
      </c>
      <c r="G69" s="36">
        <v>4.1000000000000002E-2</v>
      </c>
      <c r="H69" s="36">
        <v>4.1000000000000002E-2</v>
      </c>
      <c r="I69" s="36">
        <v>4.1000000000000002E-2</v>
      </c>
      <c r="J69" s="36">
        <v>4.1000000000000002E-2</v>
      </c>
      <c r="K69" s="36">
        <v>4.1000000000000002E-2</v>
      </c>
      <c r="L69" s="36">
        <v>4.1000000000000002E-2</v>
      </c>
    </row>
    <row r="70" spans="2:12" x14ac:dyDescent="0.2">
      <c r="B70" s="42" t="s">
        <v>155</v>
      </c>
      <c r="C70" s="38">
        <v>23.922000000000001</v>
      </c>
      <c r="D70" s="38">
        <v>23.501999999999999</v>
      </c>
      <c r="E70" s="38">
        <v>23.128</v>
      </c>
      <c r="F70" s="38">
        <v>22.832000000000001</v>
      </c>
      <c r="G70" s="38">
        <v>22.611000000000001</v>
      </c>
      <c r="H70" s="38">
        <v>22.29</v>
      </c>
      <c r="I70" s="38">
        <v>22.164999999999999</v>
      </c>
      <c r="J70" s="38">
        <v>22.006</v>
      </c>
      <c r="K70" s="38">
        <v>21.843</v>
      </c>
      <c r="L70" s="38">
        <v>21.63</v>
      </c>
    </row>
    <row r="71" spans="2:12" x14ac:dyDescent="0.2">
      <c r="B71" s="41" t="s">
        <v>156</v>
      </c>
      <c r="C71" s="36">
        <v>22.507999999999999</v>
      </c>
      <c r="D71" s="36">
        <v>33.74</v>
      </c>
      <c r="E71" s="36">
        <v>31.029</v>
      </c>
      <c r="F71" s="36">
        <v>31.754000000000001</v>
      </c>
      <c r="G71" s="36">
        <v>35.768999999999998</v>
      </c>
      <c r="H71" s="36">
        <v>18.242999999999999</v>
      </c>
      <c r="I71" s="36">
        <v>20.32</v>
      </c>
      <c r="J71" s="36">
        <v>22.667999999999999</v>
      </c>
      <c r="K71" s="36">
        <v>21.905999999999999</v>
      </c>
      <c r="L71" s="36">
        <v>15.634</v>
      </c>
    </row>
    <row r="72" spans="2:12" x14ac:dyDescent="0.2">
      <c r="B72" s="42" t="s">
        <v>157</v>
      </c>
      <c r="C72" s="43">
        <v>-4.8780000000000001</v>
      </c>
      <c r="D72" s="43">
        <v>-6.899</v>
      </c>
      <c r="E72" s="43">
        <v>-5.4429999999999996</v>
      </c>
      <c r="F72" s="43">
        <v>-6.4160000000000004</v>
      </c>
      <c r="G72" s="43">
        <v>-5.4870000000000001</v>
      </c>
      <c r="H72" s="43">
        <v>-5.5259999999999998</v>
      </c>
      <c r="I72" s="43">
        <v>-4.6260000000000003</v>
      </c>
      <c r="J72" s="43">
        <v>-4.8</v>
      </c>
      <c r="K72" s="43">
        <v>-4.2770000000000001</v>
      </c>
      <c r="L72" s="43">
        <v>-4.593</v>
      </c>
    </row>
    <row r="73" spans="2:12" x14ac:dyDescent="0.2">
      <c r="B73" s="41" t="s">
        <v>158</v>
      </c>
      <c r="C73" s="36">
        <v>8.1000000000000003E-2</v>
      </c>
      <c r="D73" s="44">
        <v>-0.05</v>
      </c>
      <c r="E73" s="44">
        <v>-0.17</v>
      </c>
      <c r="F73" s="44">
        <v>-0.442</v>
      </c>
      <c r="G73" s="44">
        <v>-1.9E-2</v>
      </c>
      <c r="H73" s="36">
        <v>0.156</v>
      </c>
      <c r="I73" s="36">
        <v>7.0999999999999994E-2</v>
      </c>
      <c r="J73" s="44">
        <v>-5.8999999999999997E-2</v>
      </c>
      <c r="K73" s="44">
        <v>-4.8000000000000001E-2</v>
      </c>
      <c r="L73" s="44">
        <v>-1.4E-2</v>
      </c>
    </row>
    <row r="74" spans="2:12" x14ac:dyDescent="0.2">
      <c r="B74" s="42" t="s">
        <v>159</v>
      </c>
      <c r="C74" s="43">
        <v>-2.9129999999999998</v>
      </c>
      <c r="D74" s="43">
        <v>-2.69</v>
      </c>
      <c r="E74" s="43">
        <v>-3.4289999999999998</v>
      </c>
      <c r="F74" s="43">
        <v>-2.4809999999999999</v>
      </c>
      <c r="G74" s="43">
        <v>-2.8330000000000002</v>
      </c>
      <c r="H74" s="43">
        <v>-2.9239999999999999</v>
      </c>
      <c r="I74" s="43">
        <v>-3.173</v>
      </c>
      <c r="J74" s="43">
        <v>-2.5070000000000001</v>
      </c>
      <c r="K74" s="43">
        <v>-2.6339999999999999</v>
      </c>
      <c r="L74" s="43">
        <v>-2.4060000000000001</v>
      </c>
    </row>
    <row r="75" spans="2:12" x14ac:dyDescent="0.2">
      <c r="B75" s="41" t="s">
        <v>160</v>
      </c>
      <c r="C75" s="44">
        <v>-2.81</v>
      </c>
      <c r="D75" s="44">
        <v>-2.81</v>
      </c>
      <c r="E75" s="44">
        <v>-2.3839999999999999</v>
      </c>
      <c r="F75" s="44">
        <v>-2.0470000000000002</v>
      </c>
      <c r="G75" s="44">
        <v>-1.5629999999999999</v>
      </c>
      <c r="H75" s="44">
        <v>-1.59</v>
      </c>
      <c r="I75" s="44">
        <v>-1.613</v>
      </c>
      <c r="J75" s="44">
        <v>-1.417</v>
      </c>
      <c r="K75" s="44">
        <v>-1.2529999999999999</v>
      </c>
      <c r="L75" s="44">
        <v>-1.1220000000000001</v>
      </c>
    </row>
    <row r="76" spans="2:12" x14ac:dyDescent="0.2">
      <c r="B76" s="37" t="s">
        <v>161</v>
      </c>
      <c r="C76" s="38">
        <v>35.951999999999998</v>
      </c>
      <c r="D76" s="38">
        <v>44.835000000000001</v>
      </c>
      <c r="E76" s="38">
        <v>42.773000000000003</v>
      </c>
      <c r="F76" s="38">
        <v>43.241999999999997</v>
      </c>
      <c r="G76" s="38">
        <v>48.518999999999998</v>
      </c>
      <c r="H76" s="38">
        <v>30.69</v>
      </c>
      <c r="I76" s="38">
        <v>33.185000000000002</v>
      </c>
      <c r="J76" s="38">
        <v>35.932000000000002</v>
      </c>
      <c r="K76" s="38">
        <v>35.578000000000003</v>
      </c>
      <c r="L76" s="38">
        <v>29.17</v>
      </c>
    </row>
    <row r="77" spans="2:12" x14ac:dyDescent="0.2">
      <c r="B77" s="52" t="s">
        <v>162</v>
      </c>
      <c r="C77" s="48">
        <v>2.8000000000000001E-2</v>
      </c>
      <c r="D77" s="48">
        <v>2.3E-2</v>
      </c>
      <c r="E77" s="48">
        <v>2.5000000000000001E-2</v>
      </c>
      <c r="F77" s="55">
        <v>-7.4999999999999997E-2</v>
      </c>
      <c r="G77" s="48">
        <v>0.10299999999999999</v>
      </c>
      <c r="H77" s="48">
        <v>0.121</v>
      </c>
      <c r="I77" s="48">
        <v>4.4999999999999998E-2</v>
      </c>
      <c r="J77" s="48">
        <v>0.13400000000000001</v>
      </c>
      <c r="K77" s="48">
        <v>0.126</v>
      </c>
      <c r="L77" s="48">
        <v>0.113</v>
      </c>
    </row>
    <row r="78" spans="2:12" x14ac:dyDescent="0.2">
      <c r="B78" s="37" t="s">
        <v>163</v>
      </c>
      <c r="C78" s="38">
        <v>35.979999999999997</v>
      </c>
      <c r="D78" s="38">
        <v>44.857999999999997</v>
      </c>
      <c r="E78" s="38">
        <v>42.798000000000002</v>
      </c>
      <c r="F78" s="38">
        <v>43.167000000000002</v>
      </c>
      <c r="G78" s="38">
        <v>48.622</v>
      </c>
      <c r="H78" s="38">
        <v>30.811</v>
      </c>
      <c r="I78" s="38">
        <v>33.229999999999997</v>
      </c>
      <c r="J78" s="38">
        <v>36.066000000000003</v>
      </c>
      <c r="K78" s="38">
        <v>35.704000000000001</v>
      </c>
      <c r="L78" s="38">
        <v>29.283000000000001</v>
      </c>
    </row>
    <row r="79" spans="2:12" x14ac:dyDescent="0.2">
      <c r="B79" s="56" t="s">
        <v>56</v>
      </c>
      <c r="C79" s="36">
        <v>289.16000000000003</v>
      </c>
      <c r="D79" s="36">
        <v>285.19600000000003</v>
      </c>
      <c r="E79" s="36">
        <v>273.31</v>
      </c>
      <c r="F79" s="36">
        <v>255.88399999999999</v>
      </c>
      <c r="G79" s="36">
        <v>257.03500000000003</v>
      </c>
      <c r="H79" s="36">
        <v>267.26100000000002</v>
      </c>
      <c r="I79" s="36">
        <v>258.53699999999998</v>
      </c>
      <c r="J79" s="36">
        <v>256.54000000000002</v>
      </c>
      <c r="K79" s="36">
        <v>258.49599999999998</v>
      </c>
      <c r="L79" s="36">
        <v>237.95099999999999</v>
      </c>
    </row>
    <row r="80" spans="2:12" x14ac:dyDescent="0.2">
      <c r="B80" s="57" t="s">
        <v>164</v>
      </c>
      <c r="C80" s="51"/>
      <c r="D80" s="51"/>
      <c r="E80" s="51"/>
      <c r="F80" s="51"/>
      <c r="G80" s="51"/>
      <c r="H80" s="51"/>
      <c r="I80" s="51"/>
      <c r="J80" s="51"/>
      <c r="K80" s="51"/>
      <c r="L80" s="51"/>
    </row>
    <row r="81" spans="2:12" x14ac:dyDescent="0.2">
      <c r="B81" s="56" t="s">
        <v>165</v>
      </c>
      <c r="C81" s="36">
        <v>8.5417000000000005</v>
      </c>
      <c r="D81" s="36">
        <v>11.31054</v>
      </c>
      <c r="E81" s="36">
        <v>10.76423</v>
      </c>
      <c r="F81" s="36">
        <v>10.848000000000001</v>
      </c>
      <c r="G81" s="36">
        <v>12.11688</v>
      </c>
      <c r="H81" s="36">
        <v>7.49268</v>
      </c>
      <c r="I81" s="36">
        <v>8.1515599999999999</v>
      </c>
      <c r="J81" s="36">
        <v>8.8263300000000005</v>
      </c>
      <c r="K81" s="36">
        <v>8.7393800000000006</v>
      </c>
      <c r="L81" s="36">
        <v>7.2078100000000003</v>
      </c>
    </row>
    <row r="82" spans="2:12" x14ac:dyDescent="0.2">
      <c r="B82" s="45" t="s">
        <v>166</v>
      </c>
      <c r="C82" s="38">
        <v>8.4269420000000004</v>
      </c>
      <c r="D82" s="38">
        <v>11.144551</v>
      </c>
      <c r="E82" s="38">
        <v>10.592345</v>
      </c>
      <c r="F82" s="38">
        <v>10.696728999999999</v>
      </c>
      <c r="G82" s="38">
        <v>11.962297</v>
      </c>
      <c r="H82" s="38">
        <v>7.4296879999999996</v>
      </c>
      <c r="I82" s="38">
        <v>8.0832719999999991</v>
      </c>
      <c r="J82" s="38">
        <v>8.7177600000000002</v>
      </c>
      <c r="K82" s="38">
        <v>8.6686320000000006</v>
      </c>
      <c r="L82" s="38">
        <v>7.146528</v>
      </c>
    </row>
    <row r="83" spans="2:12" x14ac:dyDescent="0.2">
      <c r="B83" s="58" t="s">
        <v>167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68C09-0FA4-C648-B36A-958E3BFF9A15}">
  <dimension ref="B2:M56"/>
  <sheetViews>
    <sheetView tabSelected="1" topLeftCell="A24" zoomScale="130" zoomScaleNormal="130" workbookViewId="0">
      <selection activeCell="C51" sqref="C51"/>
    </sheetView>
  </sheetViews>
  <sheetFormatPr baseColWidth="10" defaultRowHeight="15" x14ac:dyDescent="0.2"/>
  <cols>
    <col min="2" max="2" width="41.5" customWidth="1"/>
  </cols>
  <sheetData>
    <row r="2" spans="2:13" x14ac:dyDescent="0.2">
      <c r="B2" s="28" t="s">
        <v>99</v>
      </c>
    </row>
    <row r="3" spans="2:13" x14ac:dyDescent="0.2">
      <c r="B3" s="29" t="s">
        <v>100</v>
      </c>
    </row>
    <row r="4" spans="2:13" x14ac:dyDescent="0.2"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</row>
    <row r="6" spans="2:13" x14ac:dyDescent="0.2">
      <c r="B6" s="31" t="s">
        <v>101</v>
      </c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</row>
    <row r="7" spans="2:13" x14ac:dyDescent="0.2">
      <c r="B7" s="31" t="s">
        <v>102</v>
      </c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</row>
    <row r="8" spans="2:13" x14ac:dyDescent="0.2">
      <c r="B8" s="31" t="s">
        <v>103</v>
      </c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</row>
    <row r="9" spans="2:13" x14ac:dyDescent="0.2">
      <c r="B9" s="31"/>
      <c r="C9" s="31" t="s">
        <v>168</v>
      </c>
      <c r="D9" s="31" t="s">
        <v>104</v>
      </c>
      <c r="E9" s="31" t="s">
        <v>105</v>
      </c>
      <c r="F9" s="31" t="s">
        <v>106</v>
      </c>
      <c r="G9" s="31" t="s">
        <v>107</v>
      </c>
      <c r="H9" s="31" t="s">
        <v>108</v>
      </c>
      <c r="I9" s="31" t="s">
        <v>109</v>
      </c>
      <c r="J9" s="31" t="s">
        <v>110</v>
      </c>
      <c r="K9" s="31" t="s">
        <v>111</v>
      </c>
      <c r="L9" s="31" t="s">
        <v>112</v>
      </c>
      <c r="M9" s="31" t="s">
        <v>113</v>
      </c>
    </row>
    <row r="10" spans="2:13" x14ac:dyDescent="0.2">
      <c r="B10" s="31"/>
      <c r="C10" s="31" t="s">
        <v>169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</row>
    <row r="11" spans="2:13" x14ac:dyDescent="0.2">
      <c r="B11" s="31"/>
      <c r="C11" s="31" t="s">
        <v>170</v>
      </c>
      <c r="D11" s="31"/>
      <c r="E11" s="31"/>
      <c r="F11" s="31"/>
      <c r="G11" s="31"/>
      <c r="H11" s="31"/>
      <c r="I11" s="31"/>
      <c r="J11" s="31"/>
      <c r="K11" s="31"/>
      <c r="L11" s="31" t="s">
        <v>114</v>
      </c>
      <c r="M11" s="31"/>
    </row>
    <row r="12" spans="2:13" x14ac:dyDescent="0.2">
      <c r="B12" s="57" t="s">
        <v>59</v>
      </c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</row>
    <row r="13" spans="2:13" x14ac:dyDescent="0.2">
      <c r="B13" s="47" t="s">
        <v>60</v>
      </c>
      <c r="C13" s="55">
        <v>-6.0839999999999996</v>
      </c>
      <c r="D13" s="55">
        <v>-8.1620000000000008</v>
      </c>
      <c r="E13" s="48">
        <v>5.8940000000000001</v>
      </c>
      <c r="F13" s="48">
        <v>4.3289999999999997</v>
      </c>
      <c r="G13" s="55">
        <v>-2.1520000000000001</v>
      </c>
      <c r="H13" s="48">
        <v>17.91</v>
      </c>
      <c r="I13" s="55">
        <v>-1.276</v>
      </c>
      <c r="J13" s="48">
        <v>8.4000000000000005E-2</v>
      </c>
      <c r="K13" s="48">
        <v>3.6949999999999998</v>
      </c>
      <c r="L13" s="48">
        <v>7.7569999999999997</v>
      </c>
      <c r="M13" s="48">
        <v>4.6070000000000002</v>
      </c>
    </row>
    <row r="14" spans="2:13" x14ac:dyDescent="0.2">
      <c r="B14" s="33" t="s">
        <v>94</v>
      </c>
      <c r="C14" s="34">
        <v>6.0359999999999996</v>
      </c>
      <c r="D14" s="34">
        <v>5.9950000000000001</v>
      </c>
      <c r="E14" s="34">
        <v>5.867</v>
      </c>
      <c r="F14" s="34">
        <v>6.5229999999999997</v>
      </c>
      <c r="G14" s="34">
        <v>6.4930000000000003</v>
      </c>
      <c r="H14" s="34">
        <v>5.96</v>
      </c>
      <c r="I14" s="34">
        <v>7.4569999999999999</v>
      </c>
      <c r="J14" s="34">
        <v>8.49</v>
      </c>
      <c r="K14" s="34">
        <v>8.3079999999999998</v>
      </c>
      <c r="L14" s="34">
        <v>8.4529999999999994</v>
      </c>
      <c r="M14" s="34">
        <v>8.7170000000000005</v>
      </c>
    </row>
    <row r="15" spans="2:13" x14ac:dyDescent="0.2">
      <c r="B15" s="35" t="s">
        <v>171</v>
      </c>
      <c r="C15" s="59"/>
      <c r="D15" s="36">
        <v>7.8339999999999996</v>
      </c>
      <c r="E15" s="36">
        <v>7.5670000000000002</v>
      </c>
      <c r="F15" s="36">
        <v>7.69</v>
      </c>
      <c r="G15" s="36">
        <v>7.6420000000000003</v>
      </c>
      <c r="H15" s="36">
        <v>7.3179999999999996</v>
      </c>
      <c r="I15" s="36">
        <v>8.7509999999999994</v>
      </c>
      <c r="J15" s="36">
        <v>9.6890000000000001</v>
      </c>
      <c r="K15" s="36">
        <v>9.2799999999999994</v>
      </c>
      <c r="L15" s="36">
        <v>9.1219999999999999</v>
      </c>
      <c r="M15" s="36">
        <v>9.0229999999999997</v>
      </c>
    </row>
    <row r="16" spans="2:13" x14ac:dyDescent="0.2">
      <c r="B16" s="37" t="s">
        <v>172</v>
      </c>
      <c r="C16" s="46"/>
      <c r="D16" s="43">
        <v>-1.839</v>
      </c>
      <c r="E16" s="43">
        <v>-1.7</v>
      </c>
      <c r="F16" s="43">
        <v>-1.167</v>
      </c>
      <c r="G16" s="43">
        <v>-1.149</v>
      </c>
      <c r="H16" s="43">
        <v>-1.3580000000000001</v>
      </c>
      <c r="I16" s="43">
        <v>-1.294</v>
      </c>
      <c r="J16" s="43">
        <v>-1.1990000000000001</v>
      </c>
      <c r="K16" s="43">
        <v>-0.97199999999999998</v>
      </c>
      <c r="L16" s="43">
        <v>-0.66900000000000004</v>
      </c>
      <c r="M16" s="43">
        <v>-0.30599999999999999</v>
      </c>
    </row>
    <row r="17" spans="2:13" x14ac:dyDescent="0.2">
      <c r="B17" s="33" t="s">
        <v>173</v>
      </c>
      <c r="C17" s="34">
        <v>-4.4180000000000001</v>
      </c>
      <c r="D17" s="34">
        <v>-4.5359999999999996</v>
      </c>
      <c r="E17" s="34">
        <v>0.35</v>
      </c>
      <c r="F17" s="34">
        <v>-1.649</v>
      </c>
      <c r="G17" s="34">
        <v>-1.91</v>
      </c>
      <c r="H17" s="34">
        <v>-0.56299999999999994</v>
      </c>
      <c r="I17" s="34">
        <v>-0.26900000000000002</v>
      </c>
      <c r="J17" s="34">
        <v>-1.37</v>
      </c>
      <c r="K17" s="34">
        <v>-0.19700000000000001</v>
      </c>
      <c r="L17" s="34">
        <v>-0.35</v>
      </c>
      <c r="M17" s="34">
        <v>1.478</v>
      </c>
    </row>
    <row r="18" spans="2:13" x14ac:dyDescent="0.2">
      <c r="B18" s="37" t="s">
        <v>174</v>
      </c>
      <c r="C18" s="43">
        <v>-4.4180000000000001</v>
      </c>
      <c r="D18" s="43">
        <v>-4.5359999999999996</v>
      </c>
      <c r="E18" s="38">
        <v>0.35</v>
      </c>
      <c r="F18" s="43">
        <v>-1.649</v>
      </c>
      <c r="G18" s="43">
        <v>-1.91</v>
      </c>
      <c r="H18" s="43">
        <v>-0.56299999999999994</v>
      </c>
      <c r="I18" s="43">
        <v>-0.26900000000000002</v>
      </c>
      <c r="J18" s="43">
        <v>-1.37</v>
      </c>
      <c r="K18" s="43">
        <v>-0.19700000000000001</v>
      </c>
      <c r="L18" s="43">
        <v>-0.35</v>
      </c>
      <c r="M18" s="38">
        <v>1.478</v>
      </c>
    </row>
    <row r="19" spans="2:13" x14ac:dyDescent="0.2">
      <c r="B19" s="47" t="s">
        <v>72</v>
      </c>
      <c r="C19" s="48">
        <v>14.403</v>
      </c>
      <c r="D19" s="48">
        <v>14.762</v>
      </c>
      <c r="E19" s="48">
        <v>1.2170000000000001</v>
      </c>
      <c r="F19" s="48">
        <v>3.879</v>
      </c>
      <c r="G19" s="48">
        <v>11.037000000000001</v>
      </c>
      <c r="H19" s="55">
        <v>-11.987</v>
      </c>
      <c r="I19" s="55">
        <v>-0.39900000000000002</v>
      </c>
      <c r="J19" s="48">
        <v>4.1900000000000004</v>
      </c>
      <c r="K19" s="48">
        <v>1.893</v>
      </c>
      <c r="L19" s="48">
        <v>0.185</v>
      </c>
      <c r="M19" s="48">
        <v>3.5150000000000001</v>
      </c>
    </row>
    <row r="20" spans="2:13" x14ac:dyDescent="0.2">
      <c r="B20" s="45" t="s">
        <v>175</v>
      </c>
      <c r="C20" s="38">
        <v>9.9369999999999994</v>
      </c>
      <c r="D20" s="38">
        <v>8.0589999999999993</v>
      </c>
      <c r="E20" s="38">
        <v>13.327999999999999</v>
      </c>
      <c r="F20" s="38">
        <v>13.082000000000001</v>
      </c>
      <c r="G20" s="38">
        <v>13.468</v>
      </c>
      <c r="H20" s="38">
        <v>11.32</v>
      </c>
      <c r="I20" s="38">
        <v>5.5129999999999999</v>
      </c>
      <c r="J20" s="38">
        <v>11.394</v>
      </c>
      <c r="K20" s="38">
        <v>13.699</v>
      </c>
      <c r="L20" s="38">
        <v>16.045000000000002</v>
      </c>
      <c r="M20" s="38">
        <v>18.317</v>
      </c>
    </row>
    <row r="21" spans="2:13" x14ac:dyDescent="0.2">
      <c r="B21" s="33" t="s">
        <v>61</v>
      </c>
      <c r="C21" s="34">
        <v>8.9819999999999993</v>
      </c>
      <c r="D21" s="34">
        <v>13.223000000000001</v>
      </c>
      <c r="E21" s="34">
        <v>2.0950000000000002</v>
      </c>
      <c r="F21" s="34">
        <v>1.8360000000000001</v>
      </c>
      <c r="G21" s="34">
        <v>-6.6150000000000002</v>
      </c>
      <c r="H21" s="34">
        <v>4.4669999999999996</v>
      </c>
      <c r="I21" s="34">
        <v>18.756</v>
      </c>
      <c r="J21" s="34">
        <v>6.2450000000000001</v>
      </c>
      <c r="K21" s="34">
        <v>1.323</v>
      </c>
      <c r="L21" s="34">
        <v>2.0510000000000002</v>
      </c>
      <c r="M21" s="34">
        <v>1.4750000000000001</v>
      </c>
    </row>
    <row r="22" spans="2:13" x14ac:dyDescent="0.2">
      <c r="B22" s="37" t="s">
        <v>176</v>
      </c>
      <c r="C22" s="38">
        <v>3.4980000000000002</v>
      </c>
      <c r="D22" s="38">
        <v>4.992</v>
      </c>
      <c r="E22" s="43">
        <v>-4.2990000000000004</v>
      </c>
      <c r="F22" s="43">
        <v>-4.827</v>
      </c>
      <c r="G22" s="43">
        <v>-10.56</v>
      </c>
      <c r="H22" s="38">
        <v>7.6559999999999997</v>
      </c>
      <c r="I22" s="38">
        <v>12.103999999999999</v>
      </c>
      <c r="J22" s="38">
        <v>1.554</v>
      </c>
      <c r="K22" s="43">
        <v>-2.4079999999999999</v>
      </c>
      <c r="L22" s="43">
        <v>-0.83599999999999997</v>
      </c>
      <c r="M22" s="43">
        <v>-1.4490000000000001</v>
      </c>
    </row>
    <row r="23" spans="2:13" x14ac:dyDescent="0.2">
      <c r="B23" s="35" t="s">
        <v>38</v>
      </c>
      <c r="C23" s="36">
        <v>1.855</v>
      </c>
      <c r="D23" s="36">
        <v>0.53900000000000003</v>
      </c>
      <c r="E23" s="36">
        <v>2.7E-2</v>
      </c>
      <c r="F23" s="44">
        <v>-1.2190000000000001</v>
      </c>
      <c r="G23" s="44">
        <v>-2.5760000000000001</v>
      </c>
      <c r="H23" s="44">
        <v>-1.778</v>
      </c>
      <c r="I23" s="36">
        <v>0.14799999999999999</v>
      </c>
      <c r="J23" s="36">
        <v>0.20599999999999999</v>
      </c>
      <c r="K23" s="44">
        <v>-0.82799999999999996</v>
      </c>
      <c r="L23" s="44">
        <v>-0.97</v>
      </c>
      <c r="M23" s="44">
        <v>-0.81499999999999995</v>
      </c>
    </row>
    <row r="24" spans="2:13" x14ac:dyDescent="0.2">
      <c r="B24" s="37" t="s">
        <v>177</v>
      </c>
      <c r="C24" s="38">
        <v>4.8360000000000003</v>
      </c>
      <c r="D24" s="38">
        <v>7.6920000000000002</v>
      </c>
      <c r="E24" s="38">
        <v>6.367</v>
      </c>
      <c r="F24" s="38">
        <v>7.8819999999999997</v>
      </c>
      <c r="G24" s="38">
        <v>6.5209999999999999</v>
      </c>
      <c r="H24" s="43">
        <v>-1.411</v>
      </c>
      <c r="I24" s="38">
        <v>6.5039999999999996</v>
      </c>
      <c r="J24" s="38">
        <v>4.4850000000000003</v>
      </c>
      <c r="K24" s="38">
        <v>4.5590000000000002</v>
      </c>
      <c r="L24" s="38">
        <v>3.8570000000000002</v>
      </c>
      <c r="M24" s="38">
        <v>3.7389999999999999</v>
      </c>
    </row>
    <row r="25" spans="2:13" x14ac:dyDescent="0.2">
      <c r="B25" s="56" t="s">
        <v>63</v>
      </c>
      <c r="C25" s="36">
        <v>18.919</v>
      </c>
      <c r="D25" s="36">
        <v>21.282</v>
      </c>
      <c r="E25" s="36">
        <v>15.423</v>
      </c>
      <c r="F25" s="36">
        <v>14.917999999999999</v>
      </c>
      <c r="G25" s="36">
        <v>6.8529999999999998</v>
      </c>
      <c r="H25" s="36">
        <v>15.787000000000001</v>
      </c>
      <c r="I25" s="36">
        <v>24.268999999999998</v>
      </c>
      <c r="J25" s="36">
        <v>17.638999999999999</v>
      </c>
      <c r="K25" s="36">
        <v>15.022</v>
      </c>
      <c r="L25" s="36">
        <v>18.096</v>
      </c>
      <c r="M25" s="36">
        <v>19.792000000000002</v>
      </c>
    </row>
    <row r="26" spans="2:13" x14ac:dyDescent="0.2">
      <c r="B26" s="57" t="s">
        <v>64</v>
      </c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</row>
    <row r="27" spans="2:13" x14ac:dyDescent="0.2">
      <c r="B27" s="33" t="s">
        <v>65</v>
      </c>
      <c r="C27" s="34">
        <v>-9.3729999999999993</v>
      </c>
      <c r="D27" s="34">
        <v>-8.8149999999999995</v>
      </c>
      <c r="E27" s="34">
        <v>-8.6839999999999993</v>
      </c>
      <c r="F27" s="34">
        <v>-8.2360000000000007</v>
      </c>
      <c r="G27" s="34">
        <v>-6.8659999999999997</v>
      </c>
      <c r="H27" s="34">
        <v>-6.2270000000000003</v>
      </c>
      <c r="I27" s="34">
        <v>-5.742</v>
      </c>
      <c r="J27" s="34">
        <v>-7.6319999999999997</v>
      </c>
      <c r="K27" s="34">
        <v>-7.7850000000000001</v>
      </c>
      <c r="L27" s="34">
        <v>-7.0490000000000004</v>
      </c>
      <c r="M27" s="34">
        <v>-6.992</v>
      </c>
    </row>
    <row r="28" spans="2:13" x14ac:dyDescent="0.2">
      <c r="B28" s="37" t="s">
        <v>178</v>
      </c>
      <c r="C28" s="43">
        <v>-9.3729999999999993</v>
      </c>
      <c r="D28" s="43">
        <v>-8.8149999999999995</v>
      </c>
      <c r="E28" s="43">
        <v>-8.6839999999999993</v>
      </c>
      <c r="F28" s="43">
        <v>-8.2360000000000007</v>
      </c>
      <c r="G28" s="43">
        <v>-6.8659999999999997</v>
      </c>
      <c r="H28" s="43">
        <v>-6.2270000000000003</v>
      </c>
      <c r="I28" s="43">
        <v>-5.742</v>
      </c>
      <c r="J28" s="43">
        <v>-7.6319999999999997</v>
      </c>
      <c r="K28" s="43">
        <v>-7.7850000000000001</v>
      </c>
      <c r="L28" s="43">
        <v>-7.0490000000000004</v>
      </c>
      <c r="M28" s="43">
        <v>-6.992</v>
      </c>
    </row>
    <row r="29" spans="2:13" x14ac:dyDescent="0.2">
      <c r="B29" s="56" t="s">
        <v>179</v>
      </c>
      <c r="C29" s="59"/>
      <c r="D29" s="36">
        <v>0</v>
      </c>
      <c r="E29" s="36">
        <v>0</v>
      </c>
      <c r="F29" s="36">
        <v>0</v>
      </c>
      <c r="G29" s="36">
        <v>0.44900000000000001</v>
      </c>
      <c r="H29" s="36">
        <v>0.14499999999999999</v>
      </c>
      <c r="I29" s="36">
        <v>1.34</v>
      </c>
      <c r="J29" s="59"/>
      <c r="K29" s="59"/>
      <c r="L29" s="59"/>
      <c r="M29" s="59"/>
    </row>
    <row r="30" spans="2:13" x14ac:dyDescent="0.2">
      <c r="B30" s="33" t="s">
        <v>66</v>
      </c>
      <c r="C30" s="34">
        <v>0.49399999999999999</v>
      </c>
      <c r="D30" s="34">
        <v>1.1359999999999999</v>
      </c>
      <c r="E30" s="34">
        <v>-0.81200000000000006</v>
      </c>
      <c r="F30" s="34">
        <v>1.377</v>
      </c>
      <c r="G30" s="34">
        <v>0.92100000000000004</v>
      </c>
      <c r="H30" s="34">
        <v>5.7380000000000004</v>
      </c>
      <c r="I30" s="34">
        <v>-7.2290000000000001</v>
      </c>
      <c r="J30" s="34">
        <v>-0.54300000000000004</v>
      </c>
      <c r="K30" s="34">
        <v>3.387</v>
      </c>
      <c r="L30" s="34">
        <v>2.331</v>
      </c>
      <c r="M30" s="34">
        <v>-2.0739999999999998</v>
      </c>
    </row>
    <row r="31" spans="2:13" x14ac:dyDescent="0.2">
      <c r="B31" s="35" t="s">
        <v>180</v>
      </c>
      <c r="C31" s="36">
        <v>9.9359999999999999</v>
      </c>
      <c r="D31" s="36">
        <v>10.629</v>
      </c>
      <c r="E31" s="36">
        <v>14.622999999999999</v>
      </c>
      <c r="F31" s="36">
        <v>11.323</v>
      </c>
      <c r="G31" s="36">
        <v>18.196000000000002</v>
      </c>
      <c r="H31" s="36">
        <v>27.491</v>
      </c>
      <c r="I31" s="36">
        <v>39.624000000000002</v>
      </c>
      <c r="J31" s="36">
        <v>17.472000000000001</v>
      </c>
      <c r="K31" s="36">
        <v>17.14</v>
      </c>
      <c r="L31" s="36">
        <v>27.567</v>
      </c>
      <c r="M31" s="36">
        <v>31.428000000000001</v>
      </c>
    </row>
    <row r="32" spans="2:13" x14ac:dyDescent="0.2">
      <c r="B32" s="37" t="s">
        <v>181</v>
      </c>
      <c r="C32" s="38">
        <v>10.43</v>
      </c>
      <c r="D32" s="38">
        <v>11.765000000000001</v>
      </c>
      <c r="E32" s="38">
        <v>13.811</v>
      </c>
      <c r="F32" s="38">
        <v>12.7</v>
      </c>
      <c r="G32" s="38">
        <v>19.117000000000001</v>
      </c>
      <c r="H32" s="38">
        <v>33.228999999999999</v>
      </c>
      <c r="I32" s="38">
        <v>32.395000000000003</v>
      </c>
      <c r="J32" s="38">
        <v>16.928999999999998</v>
      </c>
      <c r="K32" s="38">
        <v>20.527000000000001</v>
      </c>
      <c r="L32" s="38">
        <v>29.898</v>
      </c>
      <c r="M32" s="38">
        <v>29.353999999999999</v>
      </c>
    </row>
    <row r="33" spans="2:13" x14ac:dyDescent="0.2">
      <c r="B33" s="33" t="s">
        <v>72</v>
      </c>
      <c r="C33" s="34">
        <v>-10.151</v>
      </c>
      <c r="D33" s="34">
        <v>-10.37</v>
      </c>
      <c r="E33" s="34">
        <v>-14.874000000000001</v>
      </c>
      <c r="F33" s="34">
        <v>-10.769</v>
      </c>
      <c r="G33" s="34">
        <v>1.149</v>
      </c>
      <c r="H33" s="34">
        <v>3.089</v>
      </c>
      <c r="I33" s="34">
        <v>-6.984</v>
      </c>
      <c r="J33" s="34">
        <v>-5.5460000000000003</v>
      </c>
      <c r="K33" s="34">
        <v>-11.863</v>
      </c>
      <c r="L33" s="34">
        <v>-14.641999999999999</v>
      </c>
      <c r="M33" s="34">
        <v>-16.286000000000001</v>
      </c>
    </row>
    <row r="34" spans="2:13" x14ac:dyDescent="0.2">
      <c r="B34" s="37" t="s">
        <v>182</v>
      </c>
      <c r="C34" s="43">
        <v>-56.018000000000001</v>
      </c>
      <c r="D34" s="43">
        <v>-55.747</v>
      </c>
      <c r="E34" s="43">
        <v>-59.72</v>
      </c>
      <c r="F34" s="43">
        <v>-54.505000000000003</v>
      </c>
      <c r="G34" s="43">
        <v>-45.533000000000001</v>
      </c>
      <c r="H34" s="43">
        <v>-49.005000000000003</v>
      </c>
      <c r="I34" s="43">
        <v>-56.223999999999997</v>
      </c>
      <c r="J34" s="43">
        <v>-55.728000000000002</v>
      </c>
      <c r="K34" s="43">
        <v>-63.100999999999999</v>
      </c>
      <c r="L34" s="43">
        <v>-59.383000000000003</v>
      </c>
      <c r="M34" s="43">
        <v>-56.006999999999998</v>
      </c>
    </row>
    <row r="35" spans="2:13" x14ac:dyDescent="0.2">
      <c r="B35" s="35" t="s">
        <v>183</v>
      </c>
      <c r="C35" s="36">
        <v>45.866999999999997</v>
      </c>
      <c r="D35" s="36">
        <v>45.377000000000002</v>
      </c>
      <c r="E35" s="36">
        <v>44.845999999999997</v>
      </c>
      <c r="F35" s="36">
        <v>43.735999999999997</v>
      </c>
      <c r="G35" s="36">
        <v>46.682000000000002</v>
      </c>
      <c r="H35" s="36">
        <v>52.094000000000001</v>
      </c>
      <c r="I35" s="36">
        <v>49.24</v>
      </c>
      <c r="J35" s="36">
        <v>50.182000000000002</v>
      </c>
      <c r="K35" s="36">
        <v>51.238</v>
      </c>
      <c r="L35" s="36">
        <v>44.741</v>
      </c>
      <c r="M35" s="36">
        <v>39.720999999999997</v>
      </c>
    </row>
    <row r="36" spans="2:13" x14ac:dyDescent="0.2">
      <c r="B36" s="45" t="s">
        <v>67</v>
      </c>
      <c r="C36" s="43">
        <v>-19.03</v>
      </c>
      <c r="D36" s="43">
        <v>-18.048999999999999</v>
      </c>
      <c r="E36" s="43">
        <v>-24.37</v>
      </c>
      <c r="F36" s="43">
        <v>-17.628</v>
      </c>
      <c r="G36" s="43">
        <v>-4.3470000000000004</v>
      </c>
      <c r="H36" s="38">
        <v>2.7450000000000001</v>
      </c>
      <c r="I36" s="43">
        <v>-18.614999999999998</v>
      </c>
      <c r="J36" s="43">
        <v>-13.721</v>
      </c>
      <c r="K36" s="43">
        <v>-16.260999999999999</v>
      </c>
      <c r="L36" s="43">
        <v>-19.36</v>
      </c>
      <c r="M36" s="43">
        <v>-25.352</v>
      </c>
    </row>
    <row r="37" spans="2:13" x14ac:dyDescent="0.2">
      <c r="B37" s="32" t="s">
        <v>68</v>
      </c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</row>
    <row r="38" spans="2:13" x14ac:dyDescent="0.2">
      <c r="B38" s="33" t="s">
        <v>69</v>
      </c>
      <c r="C38" s="34">
        <v>-2.4</v>
      </c>
      <c r="D38" s="34">
        <v>-2.9889999999999999</v>
      </c>
      <c r="E38" s="34">
        <v>-3.1179999999999999</v>
      </c>
      <c r="F38" s="34">
        <v>-4.9950000000000001</v>
      </c>
      <c r="G38" s="34">
        <v>-2.0089999999999999</v>
      </c>
      <c r="H38" s="34">
        <v>-0.40300000000000002</v>
      </c>
      <c r="I38" s="34">
        <v>-0.59599999999999997</v>
      </c>
      <c r="J38" s="34">
        <v>-2.3889999999999998</v>
      </c>
      <c r="K38" s="34">
        <v>-2.9049999999999998</v>
      </c>
      <c r="L38" s="34">
        <v>-2.5840000000000001</v>
      </c>
      <c r="M38" s="34">
        <v>-3.3759999999999999</v>
      </c>
    </row>
    <row r="39" spans="2:13" x14ac:dyDescent="0.2">
      <c r="B39" s="35" t="s">
        <v>184</v>
      </c>
      <c r="C39" s="44">
        <v>-2.4</v>
      </c>
      <c r="D39" s="44">
        <v>-2.9889999999999999</v>
      </c>
      <c r="E39" s="44">
        <v>-3.1179999999999999</v>
      </c>
      <c r="F39" s="44">
        <v>-4.9950000000000001</v>
      </c>
      <c r="G39" s="44">
        <v>-2.0089999999999999</v>
      </c>
      <c r="H39" s="44">
        <v>-0.40300000000000002</v>
      </c>
      <c r="I39" s="44">
        <v>-0.59599999999999997</v>
      </c>
      <c r="J39" s="44">
        <v>-2.3889999999999998</v>
      </c>
      <c r="K39" s="44">
        <v>-2.9049999999999998</v>
      </c>
      <c r="L39" s="44">
        <v>-2.5840000000000001</v>
      </c>
      <c r="M39" s="44">
        <v>-3.3759999999999999</v>
      </c>
    </row>
    <row r="40" spans="2:13" x14ac:dyDescent="0.2">
      <c r="B40" s="33" t="s">
        <v>70</v>
      </c>
      <c r="C40" s="34">
        <v>-0.311</v>
      </c>
      <c r="D40" s="34">
        <v>0</v>
      </c>
      <c r="E40" s="34">
        <v>-0.42599999999999999</v>
      </c>
      <c r="F40" s="34">
        <v>-0.33500000000000002</v>
      </c>
      <c r="G40" s="34">
        <v>-0.48399999999999999</v>
      </c>
      <c r="H40" s="34">
        <v>0</v>
      </c>
      <c r="I40" s="34">
        <v>0</v>
      </c>
      <c r="J40" s="34">
        <v>-0.23699999999999999</v>
      </c>
      <c r="K40" s="34">
        <v>-0.16400000000000001</v>
      </c>
      <c r="L40" s="34">
        <v>-0.13100000000000001</v>
      </c>
      <c r="M40" s="34">
        <v>-0.14499999999999999</v>
      </c>
    </row>
    <row r="41" spans="2:13" x14ac:dyDescent="0.2">
      <c r="B41" s="35" t="s">
        <v>185</v>
      </c>
      <c r="C41" s="44">
        <v>-0.311</v>
      </c>
      <c r="D41" s="36">
        <v>0</v>
      </c>
      <c r="E41" s="44">
        <v>-0.42599999999999999</v>
      </c>
      <c r="F41" s="44">
        <v>-0.33500000000000002</v>
      </c>
      <c r="G41" s="44">
        <v>-0.48399999999999999</v>
      </c>
      <c r="H41" s="36">
        <v>0</v>
      </c>
      <c r="I41" s="36">
        <v>0</v>
      </c>
      <c r="J41" s="44">
        <v>-0.23699999999999999</v>
      </c>
      <c r="K41" s="44">
        <v>-0.16400000000000001</v>
      </c>
      <c r="L41" s="44">
        <v>-0.13100000000000001</v>
      </c>
      <c r="M41" s="44">
        <v>-0.14499999999999999</v>
      </c>
    </row>
    <row r="42" spans="2:13" x14ac:dyDescent="0.2">
      <c r="B42" s="33" t="s">
        <v>71</v>
      </c>
      <c r="C42" s="34">
        <v>-0.251</v>
      </c>
      <c r="D42" s="34">
        <v>3.9E-2</v>
      </c>
      <c r="E42" s="34">
        <v>11.356</v>
      </c>
      <c r="F42" s="34">
        <v>8.1549999999999994</v>
      </c>
      <c r="G42" s="34">
        <v>5.2750000000000004</v>
      </c>
      <c r="H42" s="34">
        <v>-22.99</v>
      </c>
      <c r="I42" s="34">
        <v>3.0950000000000002</v>
      </c>
      <c r="J42" s="34">
        <v>-0.27700000000000002</v>
      </c>
      <c r="K42" s="34">
        <v>3.1389999999999998</v>
      </c>
      <c r="L42" s="34">
        <v>6.26</v>
      </c>
      <c r="M42" s="34">
        <v>11.028</v>
      </c>
    </row>
    <row r="43" spans="2:13" x14ac:dyDescent="0.2">
      <c r="B43" s="35" t="s">
        <v>186</v>
      </c>
      <c r="C43" s="44">
        <v>-0.86399999999999999</v>
      </c>
      <c r="D43" s="36">
        <v>0.65400000000000003</v>
      </c>
      <c r="E43" s="44">
        <v>-0.27600000000000002</v>
      </c>
      <c r="F43" s="44">
        <v>-1.5389999999999999</v>
      </c>
      <c r="G43" s="36">
        <v>5.46</v>
      </c>
      <c r="H43" s="36">
        <v>3.2730000000000001</v>
      </c>
      <c r="I43" s="44">
        <v>-2.2909999999999999</v>
      </c>
      <c r="J43" s="44">
        <v>-1.3839999999999999</v>
      </c>
      <c r="K43" s="44">
        <v>-2.819</v>
      </c>
      <c r="L43" s="36">
        <v>1.2290000000000001</v>
      </c>
      <c r="M43" s="36">
        <v>3.8639999999999999</v>
      </c>
    </row>
    <row r="44" spans="2:13" x14ac:dyDescent="0.2">
      <c r="B44" s="39" t="s">
        <v>187</v>
      </c>
      <c r="C44" s="40">
        <v>0.61299999999999999</v>
      </c>
      <c r="D44" s="40">
        <v>-0.61499999999999999</v>
      </c>
      <c r="E44" s="40">
        <v>11.632</v>
      </c>
      <c r="F44" s="40">
        <v>9.6940000000000008</v>
      </c>
      <c r="G44" s="40">
        <v>-0.185</v>
      </c>
      <c r="H44" s="40">
        <v>-26.263000000000002</v>
      </c>
      <c r="I44" s="40">
        <v>5.3860000000000001</v>
      </c>
      <c r="J44" s="40">
        <v>1.107</v>
      </c>
      <c r="K44" s="40">
        <v>5.9580000000000002</v>
      </c>
      <c r="L44" s="40">
        <v>5.0309999999999997</v>
      </c>
      <c r="M44" s="40">
        <v>7.1639999999999997</v>
      </c>
    </row>
    <row r="45" spans="2:13" x14ac:dyDescent="0.2">
      <c r="B45" s="41" t="s">
        <v>188</v>
      </c>
      <c r="C45" s="36">
        <v>50.274000000000001</v>
      </c>
      <c r="D45" s="36">
        <v>49.688000000000002</v>
      </c>
      <c r="E45" s="36">
        <v>57.311999999999998</v>
      </c>
      <c r="F45" s="36">
        <v>51.658999999999999</v>
      </c>
      <c r="G45" s="36">
        <v>45.47</v>
      </c>
      <c r="H45" s="36">
        <v>27.901</v>
      </c>
      <c r="I45" s="36">
        <v>65.900000000000006</v>
      </c>
      <c r="J45" s="36">
        <v>47.603999999999999</v>
      </c>
      <c r="K45" s="36">
        <v>50.13</v>
      </c>
      <c r="L45" s="36">
        <v>45.801000000000002</v>
      </c>
      <c r="M45" s="36">
        <v>45.960999999999999</v>
      </c>
    </row>
    <row r="46" spans="2:13" x14ac:dyDescent="0.2">
      <c r="B46" s="42" t="s">
        <v>189</v>
      </c>
      <c r="C46" s="43">
        <v>-49.661000000000001</v>
      </c>
      <c r="D46" s="43">
        <v>-50.302999999999997</v>
      </c>
      <c r="E46" s="43">
        <v>-45.68</v>
      </c>
      <c r="F46" s="43">
        <v>-41.965000000000003</v>
      </c>
      <c r="G46" s="43">
        <v>-45.655000000000001</v>
      </c>
      <c r="H46" s="43">
        <v>-54.164000000000001</v>
      </c>
      <c r="I46" s="43">
        <v>-60.514000000000003</v>
      </c>
      <c r="J46" s="43">
        <v>-46.497</v>
      </c>
      <c r="K46" s="43">
        <v>-44.171999999999997</v>
      </c>
      <c r="L46" s="43">
        <v>-40.770000000000003</v>
      </c>
      <c r="M46" s="43">
        <v>-38.796999999999997</v>
      </c>
    </row>
    <row r="47" spans="2:13" x14ac:dyDescent="0.2">
      <c r="B47" s="33" t="s">
        <v>72</v>
      </c>
      <c r="C47" s="34">
        <v>-0.29499999999999998</v>
      </c>
      <c r="D47" s="34">
        <v>-0.255</v>
      </c>
      <c r="E47" s="34">
        <v>-0.32700000000000001</v>
      </c>
      <c r="F47" s="34">
        <v>-0.24099999999999999</v>
      </c>
      <c r="G47" s="34">
        <v>-0.27100000000000002</v>
      </c>
      <c r="H47" s="34">
        <v>-0.105</v>
      </c>
      <c r="I47" s="34">
        <v>-0.184</v>
      </c>
      <c r="J47" s="34">
        <v>-0.22600000000000001</v>
      </c>
      <c r="K47" s="34">
        <v>-0.192</v>
      </c>
      <c r="L47" s="34">
        <v>-0.151</v>
      </c>
      <c r="M47" s="34">
        <v>-4.9000000000000002E-2</v>
      </c>
    </row>
    <row r="48" spans="2:13" x14ac:dyDescent="0.2">
      <c r="B48" s="37" t="s">
        <v>182</v>
      </c>
      <c r="C48" s="43">
        <v>-0.29499999999999998</v>
      </c>
      <c r="D48" s="43">
        <v>-0.255</v>
      </c>
      <c r="E48" s="43">
        <v>-0.32700000000000001</v>
      </c>
      <c r="F48" s="43">
        <v>-0.24099999999999999</v>
      </c>
      <c r="G48" s="43">
        <v>-0.27100000000000002</v>
      </c>
      <c r="H48" s="43">
        <v>-0.105</v>
      </c>
      <c r="I48" s="43">
        <v>-0.184</v>
      </c>
      <c r="J48" s="43">
        <v>-0.22600000000000001</v>
      </c>
      <c r="K48" s="43">
        <v>-0.192</v>
      </c>
      <c r="L48" s="43">
        <v>-0.151</v>
      </c>
      <c r="M48" s="43">
        <v>-4.9000000000000002E-2</v>
      </c>
    </row>
    <row r="49" spans="2:13" x14ac:dyDescent="0.2">
      <c r="B49" s="56" t="s">
        <v>73</v>
      </c>
      <c r="C49" s="44">
        <v>-3.2570000000000001</v>
      </c>
      <c r="D49" s="44">
        <v>-3.2050000000000001</v>
      </c>
      <c r="E49" s="36">
        <v>7.4850000000000003</v>
      </c>
      <c r="F49" s="36">
        <v>2.5840000000000001</v>
      </c>
      <c r="G49" s="36">
        <v>2.5110000000000001</v>
      </c>
      <c r="H49" s="44">
        <v>-23.498000000000001</v>
      </c>
      <c r="I49" s="36">
        <v>2.3149999999999999</v>
      </c>
      <c r="J49" s="44">
        <v>-3.129</v>
      </c>
      <c r="K49" s="44">
        <v>-0.122</v>
      </c>
      <c r="L49" s="36">
        <v>3.3940000000000001</v>
      </c>
      <c r="M49" s="36">
        <v>7.4580000000000002</v>
      </c>
    </row>
    <row r="50" spans="2:13" x14ac:dyDescent="0.2">
      <c r="B50" s="57" t="s">
        <v>190</v>
      </c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</row>
    <row r="51" spans="2:13" x14ac:dyDescent="0.2">
      <c r="B51" s="56" t="s">
        <v>74</v>
      </c>
      <c r="C51" s="36">
        <v>0.29399999999999998</v>
      </c>
      <c r="D51" s="36">
        <v>0.53200000000000003</v>
      </c>
      <c r="E51" s="44">
        <v>-0.45800000000000002</v>
      </c>
      <c r="F51" s="44">
        <v>-0.104</v>
      </c>
      <c r="G51" s="44">
        <v>-0.41399999999999998</v>
      </c>
      <c r="H51" s="44">
        <v>-0.23200000000000001</v>
      </c>
      <c r="I51" s="36">
        <v>0.22500000000000001</v>
      </c>
      <c r="J51" s="36">
        <v>4.4999999999999998E-2</v>
      </c>
      <c r="K51" s="44">
        <v>-0.37</v>
      </c>
      <c r="L51" s="36">
        <v>0.48899999999999999</v>
      </c>
      <c r="M51" s="44">
        <v>-0.26500000000000001</v>
      </c>
    </row>
    <row r="52" spans="2:13" x14ac:dyDescent="0.2">
      <c r="B52" s="45" t="s">
        <v>76</v>
      </c>
      <c r="C52" s="43">
        <v>-3.0739999999999998</v>
      </c>
      <c r="D52" s="38">
        <v>0.56000000000000005</v>
      </c>
      <c r="E52" s="43">
        <v>-1.92</v>
      </c>
      <c r="F52" s="43">
        <v>-0.23</v>
      </c>
      <c r="G52" s="38">
        <v>4.6029999999999998</v>
      </c>
      <c r="H52" s="43">
        <v>-5.1980000000000004</v>
      </c>
      <c r="I52" s="38">
        <v>8.1940000000000008</v>
      </c>
      <c r="J52" s="38">
        <v>0.83399999999999996</v>
      </c>
      <c r="K52" s="43">
        <v>-1.7310000000000001</v>
      </c>
      <c r="L52" s="38">
        <v>2.6190000000000002</v>
      </c>
      <c r="M52" s="38">
        <v>1.633</v>
      </c>
    </row>
    <row r="53" spans="2:13" x14ac:dyDescent="0.2">
      <c r="B53" s="54" t="s">
        <v>88</v>
      </c>
      <c r="C53" s="60">
        <v>9.5459999999999994</v>
      </c>
      <c r="D53" s="60">
        <v>12.467000000000001</v>
      </c>
      <c r="E53" s="60">
        <v>6.7389999999999999</v>
      </c>
      <c r="F53" s="60">
        <v>6.6820000000000004</v>
      </c>
      <c r="G53" s="60">
        <v>-1.2999999999999999E-2</v>
      </c>
      <c r="H53" s="60">
        <v>9.56</v>
      </c>
      <c r="I53" s="60">
        <v>18.527000000000001</v>
      </c>
      <c r="J53" s="60">
        <v>10.007</v>
      </c>
      <c r="K53" s="60">
        <v>7.2370000000000001</v>
      </c>
      <c r="L53" s="60">
        <v>11.047000000000001</v>
      </c>
      <c r="M53" s="60">
        <v>12.8</v>
      </c>
    </row>
    <row r="54" spans="2:13" x14ac:dyDescent="0.2">
      <c r="B54" s="37" t="s">
        <v>191</v>
      </c>
      <c r="C54" s="38">
        <v>2.344878</v>
      </c>
      <c r="D54" s="38">
        <v>3.1331989999999998</v>
      </c>
      <c r="E54" s="38">
        <v>1.675951</v>
      </c>
      <c r="F54" s="38">
        <v>1.653551</v>
      </c>
      <c r="G54" s="43">
        <v>-3.2390000000000001E-3</v>
      </c>
      <c r="H54" s="38">
        <v>2.369856</v>
      </c>
      <c r="I54" s="38">
        <v>4.663227</v>
      </c>
      <c r="J54" s="38">
        <v>2.4992510000000001</v>
      </c>
      <c r="K54" s="38">
        <v>1.810155</v>
      </c>
      <c r="L54" s="38">
        <v>2.7631320000000001</v>
      </c>
      <c r="M54" s="38">
        <v>3.2008000000000001</v>
      </c>
    </row>
    <row r="55" spans="2:13" x14ac:dyDescent="0.2">
      <c r="B55" s="35" t="s">
        <v>192</v>
      </c>
      <c r="C55" s="36">
        <v>20.319569999999999</v>
      </c>
      <c r="D55" s="36">
        <v>23.881091999999999</v>
      </c>
      <c r="E55" s="36">
        <v>16.928801</v>
      </c>
      <c r="F55" s="36">
        <v>13.564816</v>
      </c>
      <c r="G55" s="44">
        <v>-2.7848000000000001E-2</v>
      </c>
      <c r="H55" s="36">
        <v>11.409996</v>
      </c>
      <c r="I55" s="36">
        <v>53.051499</v>
      </c>
      <c r="J55" s="36">
        <v>26.873664000000002</v>
      </c>
      <c r="K55" s="36">
        <v>23.662158000000002</v>
      </c>
      <c r="L55" s="36">
        <v>22.122751000000001</v>
      </c>
      <c r="M55" s="36">
        <v>26.387471000000001</v>
      </c>
    </row>
    <row r="56" spans="2:13" x14ac:dyDescent="0.2">
      <c r="B56" s="58" t="s">
        <v>167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FdsFormulaCache xmlns="urn:fdsformulacache" version="2" timestamp="1775765181"><![CDATA[{"VNT-US^FE_ESTIMATE(EBITDA,MEAN,ANN_ROLL,+6,NOW,,,'')":1102.0,"VNT-US^FE_ESTIMATE(EBITDA,MEAN,ANN_ROLL,+5,NOW,,,'')":1036.0,"VNT-US^FE_ESTIMATE(EBITDA,MEAN,ANN_ROLL,+4,NOW,,,'')":844.0,"VNT-US^FE_ESTIMATE(EBITDA,MEAN,ANN_ROLL,+3,NOW,,,'')":800.04004,"VNT-US^FE_ESTIMATE(EBITDA,MEAN,ANN_ROLL,+2,NOW,,,'')":746.99927,"VNT-US^FE_ESTIMATE(EBITDA,MEAN,ANN_ROLL,+1,NOW,,,'')":712.3149,"VNT-US^FE_ESTIMATE(COS,MEAN,ANN_ROLL,+6,NOW,,,'')":null,"VNT-US^FE_ESTIMATE(COS,MEAN,ANN_ROLL,+5,NOW,,,'')":null,"VNT-US^FE_ESTIMATE(COS,MEAN,ANN_ROLL,+4,NOW,,,'')":1703.0,"VNT-US^FE_ESTIMATE(COS,MEAN,ANN_ROLL,+3,NOW,,,'')":1647.0,"VNT-US^FE_ESTIMATE(COS,MEAN,ANN_ROLL,+2,NOW,,,'')":1597.05,"VNT-US^FE_ESTIMATE(COS,MEAN,ANN_ROLL,+1,NOW,,,'')":1593.0,"VNT-US^FE_ESTIMATE(SALES,MEAN,ANN_ROLL,+6,NOW,,,'')":3704.0,"VNT-US^FE_ESTIMATE(SALES,MEAN,ANN_ROLL,+5,NOW,,,'')":3549.0,"VNT-US^FE_ESTIMATE(SALES,MEAN,ANN_ROLL,+4,NOW,,,'')":3398.0,"VNT-US^FE_ESTIMATE(SALES,MEAN,ANN_ROLL,+3,NOW,,,'')":3261.464,"VNT-US^FE_ESTIMATE(SALES,MEAN,ANN_ROLL,+2,NOW,,,'')":3111.09,"VNT-US^FE_ESTIMATE(SALES,MEAN,ANN_ROLL,+1,NOW,,,'')":3031.879,"VNT-US^FF_FIN_ACTIV_OTH_CF('ANN_R','-2','0','YEARLY',RP,'LOCAL','M')@0":[-6.1,-9.9,-14.9],"VNT-US^FF_DEBT_CF('ANN_R','-2','0','YEARLY',RP,'LOCAL','M')@0":[-0.399999999999955,-298.1,-154.5],"VNT-US^FF_STK_CHG_CF('ANN_R','-2','0','YEARLY',RP,'LOCAL','M')@0":[-325.5,-64.3,-207.7],"VNT-US^-FF_DIV_CF('ANN_R','-2','0','YEARLY',RP,'LOCAL','M')@0":[-15.9,-15.5,-15.2],"VNT-US^FF_SALE_ASSETS_BUS_CF('ANN_R','-2','0','YEARLY',RP,'LOCAL','M')@0":[0.4,112.0,74.0],"VNT-US^-FF_ACQ_BUS_CF('ANN_R','-2','0','YEARLY',RP,'LOCAL','M')@0":[-277.5,0.0,0.0],"VNT-US^-1.000000 * FF_CAPEX('ANN_R','-2','0','YEARLY',RP,'LOCAL','M')@0":[-60.0,-60.1,-82.7],"VNT-US^FF_WKCAP_CHG('ANN_R','-2','0','YEARLY',RP,'LOCAL','M')@0":[-211.2,-47.4,-119.5],"VNT-US^FF_NON_CASH('ANN_R','-2','0','YEARLY',RP,'LOCAL','M')@0":[29.4,0.5,-2.3],"VNT-US^FF_DEP_EXP_CF('ANN_R','-2','0','YEARLY',RP,'LOCAL','M')@0":[101.7,125.0,127.1],"VNT-US^FF_NET_INC_CF('ANN_R','-2','0','YEARLY',RP,'LOCAL','M')@0":[401.3,376.9,422.2],"VNT-US^FF_EQ_TOT('ANN_R','-2','0','YEARLY',RP,'LOCAL','M')@0":[579.5,895.6,1059.9],"VNT-US^FF_LIABS_OTH('ANN_R','-2','0','YEARLY',RP,'LOCAL','M')@0":[109.3,114.9,105.8],"VNT-US^FF_PROV_RISK('ANN_R','-2','0','YEARLY',RP,'LOCAL','M')@0":[104.9,102.1,107.0],"VNT-US^FF_DEBT_LT('ANN_R','-2','0','YEARLY',RP,'LOCAL','M')@0":[2619.7,2226.1,2128.6],"VNT-US^FF_LIABS_CURR_OTH('ANN_R','-2','0','YEARLY',RP,'LOCAL','M')@0":[451.7,432.5,401.9],"VNT-US^FF_PAY_TAX('ANN_R','-2','0','YEARLY',RP,'LOCAL','M')@0":[28.9,35.4,60.6],"VNT-US^FF_PAY_ACCT('ANN_R','-2','0','YEARLY',RP,'LOCAL','M')@0":[430.9,366.8,378.1],"VNT-US^FF_DEBT_ST('ANN_R','-2','0','YEARLY',RP,'LOCAL','M')@0":[18.4,120.6,68.6],"VNT-US^FF_ASSETS_OTH('ANN_R','-2','0','YEARLY',RP,'LOCAL','M')@0":[136.1,181.4,218.6],"VNT-US^FF_INTANG('ANN_R','-2','0','YEARLY',RP,'LOCAL','M')@0":[2388.4,2310.7,2212.5],"VNT-US^FF_INVEST_LT('ANN_R','-2','0','YEARLY',RP,'LOCAL','M')@0":[297.2,320.1,342.4],"VNT-US^FF_PPE_NET('ANN_R','-2','0','YEARLY',RP,'LOCAL','M')@0":[136.6,149.3,167.0],"VNT-US^FF_ASSETS_CURR_OTH('ANN_R','-2','0','YEARLY',RP,'LOCAL','M')@0":[264.9,178.0,127.6],"VNT-US^FF_INVEN('ANN_R','-2','0','YEARLY',RP,'LOCAL','M')@0":[346.0,296.6,337.8],"VNT-US^FF_RECEIV_ST('ANN_R','-2','0','YEARLY',RP,'LOCAL','M')@0":[548.3,517.0,548.2],"VNT-US^FF_CASH_ST('ANN_R','-2','0','YEARLY',RP,'LOCAL','M')@0":[225.8,340.9,356.4],"VNT-US^FF_INC_TAX('ANN_R','-2','0','YEARLY',RP,'LOCAL','M')@0":[126.1,106.6,75.4],"VNT-US^FF_UNUSUAL_EXP('ANN_R','-2','0','YEARLY',RP,'LOCAL','M')@0":[-10.0,25.2,13.5],"VNT-US^FF_MISC_EXP_NON_OPER('ANN_R','-2','0','YEARLY',RP,'LOCAL','M')@0":[-4.9,33.8,35.3],"VNT-US^FF_INT_INC_NET('ANN_R','-2','0','YEARLY',RP,'LOCAL','M')@0":[0.0,0.0,0.0],"VNT-US^FF_INT_EXP_NET('ANN_R','-2','0','YEARLY',RP,'LOCAL','M')@0":[69.6,93.7,74.7],"VNT-US^IF(ISAV(FF_SGA('ANN_R','-2','0','YEARLY',RP,'LOCAL','M')), FF_RD_EXP('ANN_R','-2','0','YEARLY',RP,'LOCAL','M'), FLOAT_NA)@0":[144.6,163.5,177.7],"VNT-US^FF_SGA_OTH('ANN_R','-2','0','YEARLY',RP,'LOCAL','M')@0":[617.0,628.1,618.0],"VNT-US^FF_COGS('ANN_R','-2','0','YEARLY',RP,'LOCAL','M')@0":[1830.9,1735.0,1632.8],"VNT-US^FF_SALES('ANN_R','-2','0','YEARLY',RP,'LOCAL','M')@0":[3184.4,3095.2,2979.0],"VNT-US^FF_FP_END_DATE('ANN','-2','0',,RP)":["12/2022","12/2023","12/2024"]}]]></FdsFormulaCache>
</file>

<file path=customXml/itemProps1.xml><?xml version="1.0" encoding="utf-8"?>
<ds:datastoreItem xmlns:ds="http://schemas.openxmlformats.org/officeDocument/2006/customXml" ds:itemID="{BA84581A-C764-4D50-A880-C6A18925D6DA}">
  <ds:schemaRefs>
    <ds:schemaRef ds:uri="urn:fdsformulacach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Ford Financial Model 2022-2030</vt:lpstr>
      <vt:lpstr>COGS assumption testing</vt:lpstr>
      <vt:lpstr>Source data income statement</vt:lpstr>
      <vt:lpstr>Source data balance sheet</vt:lpstr>
      <vt:lpstr>Source data cash flow statement</vt:lpstr>
      <vt:lpstr>'COGS assumption testing'!Print_Area</vt:lpstr>
      <vt:lpstr>'Ford Financial Model 2022-2030'!Print_Area</vt:lpstr>
      <vt:lpstr>'COGS assumption testing'!Print_Titles</vt:lpstr>
      <vt:lpstr>'Ford Financial Model 2022-2030'!Print_Titles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Baker, Art</dc:creator>
  <cp:lastModifiedBy>Denise Lin</cp:lastModifiedBy>
  <cp:lastPrinted>2025-12-19T01:49:37Z</cp:lastPrinted>
  <dcterms:created xsi:type="dcterms:W3CDTF">2025-12-19T01:27:51Z</dcterms:created>
  <dcterms:modified xsi:type="dcterms:W3CDTF">2026-06-24T01:34:30Z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=fdsSearchOrder">
    <vt:i4>0</vt:i4>
  </property>
</Properties>
</file>